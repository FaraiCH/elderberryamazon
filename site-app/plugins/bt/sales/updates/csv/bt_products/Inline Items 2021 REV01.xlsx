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oeza\OneDrive\Desktop\bt_products\"/>
    </mc:Choice>
  </mc:AlternateContent>
  <bookViews>
    <workbookView xWindow="-105" yWindow="-105" windowWidth="19425" windowHeight="10425" activeTab="3"/>
  </bookViews>
  <sheets>
    <sheet name="STUBS " sheetId="1" r:id="rId1"/>
    <sheet name="BENDS" sheetId="3" r:id="rId2"/>
    <sheet name="EQUAL TEE" sheetId="4" r:id="rId3"/>
    <sheet name="Moulded fittings " sheetId="5" r:id="rId4"/>
    <sheet name="NUTS &amp; Bolts" sheetId="7" r:id="rId5"/>
    <sheet name=" BACKING Flanges " sheetId="2" r:id="rId6"/>
    <sheet name="compression " sheetId="8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5" l="1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5" i="5"/>
  <c r="C351" i="8" l="1"/>
  <c r="D351" i="8" s="1"/>
  <c r="E351" i="8" s="1"/>
  <c r="C350" i="8"/>
  <c r="D350" i="8" s="1"/>
  <c r="E350" i="8" s="1"/>
  <c r="C349" i="8"/>
  <c r="D349" i="8" s="1"/>
  <c r="E349" i="8" s="1"/>
  <c r="C348" i="8"/>
  <c r="D348" i="8" s="1"/>
  <c r="E348" i="8" s="1"/>
  <c r="C347" i="8"/>
  <c r="D347" i="8" s="1"/>
  <c r="E347" i="8" s="1"/>
  <c r="C346" i="8"/>
  <c r="D346" i="8" s="1"/>
  <c r="E346" i="8" s="1"/>
  <c r="D345" i="8"/>
  <c r="E345" i="8" s="1"/>
  <c r="C345" i="8"/>
  <c r="D344" i="8"/>
  <c r="E344" i="8" s="1"/>
  <c r="D343" i="8"/>
  <c r="E343" i="8" s="1"/>
  <c r="D342" i="8"/>
  <c r="E342" i="8" s="1"/>
  <c r="C341" i="8"/>
  <c r="D341" i="8" s="1"/>
  <c r="E341" i="8" s="1"/>
  <c r="C340" i="8"/>
  <c r="D340" i="8" s="1"/>
  <c r="E340" i="8" s="1"/>
  <c r="C339" i="8"/>
  <c r="D339" i="8" s="1"/>
  <c r="E339" i="8" s="1"/>
  <c r="C338" i="8"/>
  <c r="D338" i="8" s="1"/>
  <c r="E338" i="8" s="1"/>
  <c r="D337" i="8"/>
  <c r="E337" i="8" s="1"/>
  <c r="C337" i="8"/>
  <c r="D336" i="8"/>
  <c r="E336" i="8" s="1"/>
  <c r="C336" i="8"/>
  <c r="D335" i="8"/>
  <c r="E335" i="8" s="1"/>
  <c r="D334" i="8"/>
  <c r="E334" i="8" s="1"/>
  <c r="D333" i="8"/>
  <c r="E333" i="8" s="1"/>
  <c r="C332" i="8"/>
  <c r="D332" i="8" s="1"/>
  <c r="E332" i="8" s="1"/>
  <c r="C331" i="8"/>
  <c r="D331" i="8" s="1"/>
  <c r="E331" i="8" s="1"/>
  <c r="C330" i="8"/>
  <c r="D330" i="8" s="1"/>
  <c r="E330" i="8" s="1"/>
  <c r="C329" i="8"/>
  <c r="D329" i="8" s="1"/>
  <c r="E329" i="8" s="1"/>
  <c r="D328" i="8"/>
  <c r="E328" i="8" s="1"/>
  <c r="C328" i="8"/>
  <c r="D327" i="8"/>
  <c r="E327" i="8" s="1"/>
  <c r="C327" i="8"/>
  <c r="C326" i="8"/>
  <c r="D326" i="8" s="1"/>
  <c r="E326" i="8" s="1"/>
  <c r="C325" i="8"/>
  <c r="D325" i="8" s="1"/>
  <c r="E325" i="8" s="1"/>
  <c r="C324" i="8"/>
  <c r="D324" i="8" s="1"/>
  <c r="E324" i="8" s="1"/>
  <c r="D323" i="8"/>
  <c r="E323" i="8" s="1"/>
  <c r="C322" i="8"/>
  <c r="D322" i="8" s="1"/>
  <c r="E322" i="8" s="1"/>
  <c r="C321" i="8"/>
  <c r="D321" i="8" s="1"/>
  <c r="E321" i="8" s="1"/>
  <c r="C320" i="8"/>
  <c r="D320" i="8" s="1"/>
  <c r="E320" i="8" s="1"/>
  <c r="C319" i="8"/>
  <c r="D319" i="8" s="1"/>
  <c r="E319" i="8" s="1"/>
  <c r="C318" i="8"/>
  <c r="D318" i="8" s="1"/>
  <c r="E318" i="8" s="1"/>
  <c r="C317" i="8"/>
  <c r="D317" i="8" s="1"/>
  <c r="E317" i="8" s="1"/>
  <c r="D316" i="8"/>
  <c r="E316" i="8" s="1"/>
  <c r="C316" i="8"/>
  <c r="C315" i="8"/>
  <c r="D315" i="8" s="1"/>
  <c r="E315" i="8" s="1"/>
  <c r="C314" i="8"/>
  <c r="D314" i="8" s="1"/>
  <c r="E314" i="8" s="1"/>
  <c r="C313" i="8"/>
  <c r="D313" i="8" s="1"/>
  <c r="E313" i="8" s="1"/>
  <c r="C312" i="8"/>
  <c r="D312" i="8" s="1"/>
  <c r="E312" i="8" s="1"/>
  <c r="C311" i="8"/>
  <c r="D311" i="8" s="1"/>
  <c r="E311" i="8" s="1"/>
  <c r="C310" i="8"/>
  <c r="D310" i="8" s="1"/>
  <c r="E310" i="8" s="1"/>
  <c r="C309" i="8"/>
  <c r="D309" i="8" s="1"/>
  <c r="E309" i="8" s="1"/>
  <c r="D308" i="8"/>
  <c r="E308" i="8" s="1"/>
  <c r="C308" i="8"/>
  <c r="C307" i="8"/>
  <c r="D307" i="8" s="1"/>
  <c r="E307" i="8" s="1"/>
  <c r="C306" i="8"/>
  <c r="D306" i="8" s="1"/>
  <c r="E306" i="8" s="1"/>
  <c r="C305" i="8"/>
  <c r="D305" i="8" s="1"/>
  <c r="E305" i="8" s="1"/>
  <c r="C304" i="8"/>
  <c r="D304" i="8" s="1"/>
  <c r="E304" i="8" s="1"/>
  <c r="C303" i="8"/>
  <c r="D303" i="8" s="1"/>
  <c r="E303" i="8" s="1"/>
  <c r="C302" i="8"/>
  <c r="D302" i="8" s="1"/>
  <c r="E302" i="8" s="1"/>
  <c r="C301" i="8"/>
  <c r="D301" i="8" s="1"/>
  <c r="E301" i="8" s="1"/>
  <c r="D300" i="8"/>
  <c r="E300" i="8" s="1"/>
  <c r="C300" i="8"/>
  <c r="C299" i="8"/>
  <c r="D299" i="8" s="1"/>
  <c r="E299" i="8" s="1"/>
  <c r="C298" i="8"/>
  <c r="D298" i="8" s="1"/>
  <c r="E298" i="8" s="1"/>
  <c r="C297" i="8"/>
  <c r="D297" i="8" s="1"/>
  <c r="E297" i="8" s="1"/>
  <c r="C296" i="8"/>
  <c r="D296" i="8" s="1"/>
  <c r="E296" i="8" s="1"/>
  <c r="C295" i="8"/>
  <c r="D295" i="8" s="1"/>
  <c r="E295" i="8" s="1"/>
  <c r="C294" i="8"/>
  <c r="D294" i="8" s="1"/>
  <c r="E294" i="8" s="1"/>
  <c r="D293" i="8"/>
  <c r="E293" i="8" s="1"/>
  <c r="C293" i="8"/>
  <c r="D292" i="8"/>
  <c r="E292" i="8" s="1"/>
  <c r="C292" i="8"/>
  <c r="C291" i="8"/>
  <c r="D291" i="8" s="1"/>
  <c r="E291" i="8" s="1"/>
  <c r="C290" i="8"/>
  <c r="D290" i="8" s="1"/>
  <c r="E290" i="8" s="1"/>
  <c r="C289" i="8"/>
  <c r="D289" i="8" s="1"/>
  <c r="E289" i="8" s="1"/>
  <c r="C288" i="8"/>
  <c r="D288" i="8" s="1"/>
  <c r="E288" i="8" s="1"/>
  <c r="C287" i="8"/>
  <c r="D287" i="8" s="1"/>
  <c r="E287" i="8" s="1"/>
  <c r="C286" i="8"/>
  <c r="D286" i="8" s="1"/>
  <c r="E286" i="8" s="1"/>
  <c r="C285" i="8"/>
  <c r="D285" i="8" s="1"/>
  <c r="E285" i="8" s="1"/>
  <c r="D284" i="8"/>
  <c r="E284" i="8" s="1"/>
  <c r="C284" i="8"/>
  <c r="C283" i="8"/>
  <c r="D283" i="8" s="1"/>
  <c r="E283" i="8" s="1"/>
  <c r="C282" i="8"/>
  <c r="D282" i="8" s="1"/>
  <c r="E282" i="8" s="1"/>
  <c r="C281" i="8"/>
  <c r="D281" i="8" s="1"/>
  <c r="E281" i="8" s="1"/>
  <c r="C280" i="8"/>
  <c r="D280" i="8" s="1"/>
  <c r="E280" i="8" s="1"/>
  <c r="C279" i="8"/>
  <c r="D279" i="8" s="1"/>
  <c r="E279" i="8" s="1"/>
  <c r="C278" i="8"/>
  <c r="D278" i="8" s="1"/>
  <c r="E278" i="8" s="1"/>
  <c r="D277" i="8"/>
  <c r="E277" i="8" s="1"/>
  <c r="C276" i="8"/>
  <c r="D276" i="8" s="1"/>
  <c r="E276" i="8" s="1"/>
  <c r="C275" i="8"/>
  <c r="D275" i="8" s="1"/>
  <c r="E275" i="8" s="1"/>
  <c r="C274" i="8"/>
  <c r="D274" i="8" s="1"/>
  <c r="E274" i="8" s="1"/>
  <c r="D273" i="8"/>
  <c r="E273" i="8" s="1"/>
  <c r="C273" i="8"/>
  <c r="D272" i="8"/>
  <c r="E272" i="8" s="1"/>
  <c r="C271" i="8"/>
  <c r="D271" i="8" s="1"/>
  <c r="E271" i="8" s="1"/>
  <c r="D270" i="8"/>
  <c r="E270" i="8" s="1"/>
  <c r="C270" i="8"/>
  <c r="C269" i="8"/>
  <c r="D269" i="8" s="1"/>
  <c r="E269" i="8" s="1"/>
  <c r="C268" i="8"/>
  <c r="D268" i="8" s="1"/>
  <c r="E268" i="8" s="1"/>
  <c r="E267" i="8"/>
  <c r="D267" i="8"/>
  <c r="C266" i="8"/>
  <c r="D266" i="8" s="1"/>
  <c r="E266" i="8" s="1"/>
  <c r="C265" i="8"/>
  <c r="D265" i="8" s="1"/>
  <c r="E265" i="8" s="1"/>
  <c r="E264" i="8"/>
  <c r="D264" i="8"/>
  <c r="C263" i="8"/>
  <c r="D263" i="8" s="1"/>
  <c r="E263" i="8" s="1"/>
  <c r="C262" i="8"/>
  <c r="D262" i="8" s="1"/>
  <c r="E262" i="8" s="1"/>
  <c r="C261" i="8"/>
  <c r="D261" i="8" s="1"/>
  <c r="E261" i="8" s="1"/>
  <c r="C260" i="8"/>
  <c r="D260" i="8" s="1"/>
  <c r="E260" i="8" s="1"/>
  <c r="C259" i="8"/>
  <c r="D259" i="8" s="1"/>
  <c r="E259" i="8" s="1"/>
  <c r="C258" i="8"/>
  <c r="D258" i="8" s="1"/>
  <c r="E258" i="8" s="1"/>
  <c r="C257" i="8"/>
  <c r="D257" i="8" s="1"/>
  <c r="E257" i="8" s="1"/>
  <c r="D256" i="8"/>
  <c r="E256" i="8" s="1"/>
  <c r="C256" i="8"/>
  <c r="C255" i="8"/>
  <c r="D255" i="8" s="1"/>
  <c r="E255" i="8" s="1"/>
  <c r="C254" i="8"/>
  <c r="D254" i="8" s="1"/>
  <c r="E254" i="8" s="1"/>
  <c r="E253" i="8"/>
  <c r="D253" i="8"/>
  <c r="D252" i="8"/>
  <c r="E252" i="8" s="1"/>
  <c r="D251" i="8"/>
  <c r="E251" i="8" s="1"/>
  <c r="C250" i="8"/>
  <c r="D250" i="8" s="1"/>
  <c r="E250" i="8" s="1"/>
  <c r="C249" i="8"/>
  <c r="D249" i="8" s="1"/>
  <c r="E249" i="8" s="1"/>
  <c r="D248" i="8"/>
  <c r="E248" i="8" s="1"/>
  <c r="C247" i="8"/>
  <c r="D247" i="8" s="1"/>
  <c r="E247" i="8" s="1"/>
  <c r="C246" i="8"/>
  <c r="D246" i="8" s="1"/>
  <c r="E246" i="8" s="1"/>
  <c r="C245" i="8"/>
  <c r="D245" i="8" s="1"/>
  <c r="E245" i="8" s="1"/>
  <c r="D244" i="8"/>
  <c r="E244" i="8" s="1"/>
  <c r="C244" i="8"/>
  <c r="C243" i="8"/>
  <c r="D243" i="8" s="1"/>
  <c r="E243" i="8" s="1"/>
  <c r="C242" i="8"/>
  <c r="D242" i="8" s="1"/>
  <c r="E242" i="8" s="1"/>
  <c r="C241" i="8"/>
  <c r="D241" i="8" s="1"/>
  <c r="E241" i="8" s="1"/>
  <c r="C240" i="8"/>
  <c r="D240" i="8" s="1"/>
  <c r="E240" i="8" s="1"/>
  <c r="C239" i="8"/>
  <c r="D239" i="8" s="1"/>
  <c r="E239" i="8" s="1"/>
  <c r="C238" i="8"/>
  <c r="D238" i="8" s="1"/>
  <c r="E238" i="8" s="1"/>
  <c r="C237" i="8"/>
  <c r="D237" i="8" s="1"/>
  <c r="E237" i="8" s="1"/>
  <c r="D236" i="8"/>
  <c r="E236" i="8" s="1"/>
  <c r="C236" i="8"/>
  <c r="C235" i="8"/>
  <c r="D235" i="8" s="1"/>
  <c r="E235" i="8" s="1"/>
  <c r="C234" i="8"/>
  <c r="D234" i="8" s="1"/>
  <c r="E234" i="8" s="1"/>
  <c r="E233" i="8"/>
  <c r="C233" i="8"/>
  <c r="D233" i="8" s="1"/>
  <c r="D232" i="8"/>
  <c r="E232" i="8" s="1"/>
  <c r="C232" i="8"/>
  <c r="C231" i="8"/>
  <c r="D231" i="8" s="1"/>
  <c r="E231" i="8" s="1"/>
  <c r="C230" i="8"/>
  <c r="D230" i="8" s="1"/>
  <c r="E230" i="8" s="1"/>
  <c r="C229" i="8"/>
  <c r="D229" i="8" s="1"/>
  <c r="E229" i="8" s="1"/>
  <c r="C228" i="8"/>
  <c r="D228" i="8" s="1"/>
  <c r="E228" i="8" s="1"/>
  <c r="C227" i="8"/>
  <c r="D227" i="8" s="1"/>
  <c r="E227" i="8" s="1"/>
  <c r="C226" i="8"/>
  <c r="D226" i="8" s="1"/>
  <c r="E226" i="8" s="1"/>
  <c r="C225" i="8"/>
  <c r="D225" i="8" s="1"/>
  <c r="E225" i="8" s="1"/>
  <c r="C224" i="8"/>
  <c r="D224" i="8" s="1"/>
  <c r="E224" i="8" s="1"/>
  <c r="C223" i="8"/>
  <c r="D223" i="8" s="1"/>
  <c r="E223" i="8" s="1"/>
  <c r="C222" i="8"/>
  <c r="D222" i="8" s="1"/>
  <c r="E222" i="8" s="1"/>
  <c r="C221" i="8"/>
  <c r="D221" i="8" s="1"/>
  <c r="E221" i="8" s="1"/>
  <c r="D220" i="8"/>
  <c r="E220" i="8" s="1"/>
  <c r="C219" i="8"/>
  <c r="D219" i="8" s="1"/>
  <c r="E219" i="8" s="1"/>
  <c r="C218" i="8"/>
  <c r="D218" i="8" s="1"/>
  <c r="E218" i="8" s="1"/>
  <c r="D217" i="8"/>
  <c r="E217" i="8" s="1"/>
  <c r="C217" i="8"/>
  <c r="C216" i="8"/>
  <c r="D216" i="8" s="1"/>
  <c r="E216" i="8" s="1"/>
  <c r="C215" i="8"/>
  <c r="D215" i="8" s="1"/>
  <c r="E215" i="8" s="1"/>
  <c r="C214" i="8"/>
  <c r="D214" i="8" s="1"/>
  <c r="E214" i="8" s="1"/>
  <c r="D213" i="8"/>
  <c r="E213" i="8" s="1"/>
  <c r="C213" i="8"/>
  <c r="C212" i="8"/>
  <c r="D212" i="8" s="1"/>
  <c r="E212" i="8" s="1"/>
  <c r="C211" i="8"/>
  <c r="D211" i="8" s="1"/>
  <c r="E211" i="8" s="1"/>
  <c r="C210" i="8"/>
  <c r="D210" i="8" s="1"/>
  <c r="E210" i="8" s="1"/>
  <c r="D209" i="8"/>
  <c r="E209" i="8" s="1"/>
  <c r="C209" i="8"/>
  <c r="C208" i="8"/>
  <c r="D208" i="8" s="1"/>
  <c r="E208" i="8" s="1"/>
  <c r="C207" i="8"/>
  <c r="D207" i="8" s="1"/>
  <c r="E207" i="8" s="1"/>
  <c r="C206" i="8"/>
  <c r="D206" i="8" s="1"/>
  <c r="E206" i="8" s="1"/>
  <c r="D205" i="8"/>
  <c r="E205" i="8" s="1"/>
  <c r="C205" i="8"/>
  <c r="C204" i="8"/>
  <c r="D204" i="8" s="1"/>
  <c r="E204" i="8" s="1"/>
  <c r="C203" i="8"/>
  <c r="D203" i="8" s="1"/>
  <c r="E203" i="8" s="1"/>
  <c r="C202" i="8"/>
  <c r="D202" i="8" s="1"/>
  <c r="E202" i="8" s="1"/>
  <c r="D201" i="8"/>
  <c r="E201" i="8" s="1"/>
  <c r="C201" i="8"/>
  <c r="C200" i="8"/>
  <c r="D200" i="8" s="1"/>
  <c r="E200" i="8" s="1"/>
  <c r="C199" i="8"/>
  <c r="D199" i="8" s="1"/>
  <c r="E199" i="8" s="1"/>
  <c r="C198" i="8"/>
  <c r="D198" i="8" s="1"/>
  <c r="E198" i="8" s="1"/>
  <c r="D197" i="8"/>
  <c r="E197" i="8" s="1"/>
  <c r="C197" i="8"/>
  <c r="C196" i="8"/>
  <c r="D196" i="8" s="1"/>
  <c r="E196" i="8" s="1"/>
  <c r="C195" i="8"/>
  <c r="D195" i="8" s="1"/>
  <c r="E195" i="8" s="1"/>
  <c r="C194" i="8"/>
  <c r="D194" i="8" s="1"/>
  <c r="E194" i="8" s="1"/>
  <c r="D193" i="8"/>
  <c r="E193" i="8" s="1"/>
  <c r="C193" i="8"/>
  <c r="C192" i="8"/>
  <c r="D192" i="8" s="1"/>
  <c r="E192" i="8" s="1"/>
  <c r="C191" i="8"/>
  <c r="D191" i="8" s="1"/>
  <c r="E191" i="8" s="1"/>
  <c r="C190" i="8"/>
  <c r="D190" i="8" s="1"/>
  <c r="E190" i="8" s="1"/>
  <c r="D189" i="8"/>
  <c r="E189" i="8" s="1"/>
  <c r="C188" i="8"/>
  <c r="D188" i="8" s="1"/>
  <c r="E188" i="8" s="1"/>
  <c r="C187" i="8"/>
  <c r="D187" i="8" s="1"/>
  <c r="E187" i="8" s="1"/>
  <c r="C186" i="8"/>
  <c r="D186" i="8" s="1"/>
  <c r="E186" i="8" s="1"/>
  <c r="C185" i="8"/>
  <c r="D185" i="8" s="1"/>
  <c r="E185" i="8" s="1"/>
  <c r="C184" i="8"/>
  <c r="D184" i="8" s="1"/>
  <c r="E184" i="8" s="1"/>
  <c r="C183" i="8"/>
  <c r="D183" i="8" s="1"/>
  <c r="E183" i="8" s="1"/>
  <c r="C182" i="8"/>
  <c r="D182" i="8" s="1"/>
  <c r="E182" i="8" s="1"/>
  <c r="C181" i="8"/>
  <c r="D181" i="8" s="1"/>
  <c r="E181" i="8" s="1"/>
  <c r="C180" i="8"/>
  <c r="D180" i="8" s="1"/>
  <c r="E180" i="8" s="1"/>
  <c r="E179" i="8"/>
  <c r="C179" i="8"/>
  <c r="D179" i="8" s="1"/>
  <c r="C178" i="8"/>
  <c r="D178" i="8" s="1"/>
  <c r="E178" i="8" s="1"/>
  <c r="C177" i="8"/>
  <c r="D177" i="8" s="1"/>
  <c r="E177" i="8" s="1"/>
  <c r="C176" i="8"/>
  <c r="D176" i="8" s="1"/>
  <c r="E176" i="8" s="1"/>
  <c r="C175" i="8"/>
  <c r="D175" i="8" s="1"/>
  <c r="E175" i="8" s="1"/>
  <c r="C174" i="8"/>
  <c r="D174" i="8" s="1"/>
  <c r="E174" i="8" s="1"/>
  <c r="C173" i="8"/>
  <c r="D173" i="8" s="1"/>
  <c r="E173" i="8" s="1"/>
  <c r="C172" i="8"/>
  <c r="D172" i="8" s="1"/>
  <c r="E172" i="8" s="1"/>
  <c r="C171" i="8"/>
  <c r="D171" i="8" s="1"/>
  <c r="E171" i="8" s="1"/>
  <c r="C170" i="8"/>
  <c r="D170" i="8" s="1"/>
  <c r="E170" i="8" s="1"/>
  <c r="C169" i="8"/>
  <c r="D169" i="8" s="1"/>
  <c r="E169" i="8" s="1"/>
  <c r="C168" i="8"/>
  <c r="D168" i="8" s="1"/>
  <c r="E168" i="8" s="1"/>
  <c r="D167" i="8"/>
  <c r="E167" i="8" s="1"/>
  <c r="C167" i="8"/>
  <c r="C166" i="8"/>
  <c r="D166" i="8" s="1"/>
  <c r="E166" i="8" s="1"/>
  <c r="C165" i="8"/>
  <c r="D165" i="8" s="1"/>
  <c r="E165" i="8" s="1"/>
  <c r="E164" i="8"/>
  <c r="C164" i="8"/>
  <c r="D164" i="8" s="1"/>
  <c r="D163" i="8"/>
  <c r="E163" i="8" s="1"/>
  <c r="C162" i="8"/>
  <c r="D162" i="8" s="1"/>
  <c r="E162" i="8" s="1"/>
  <c r="E161" i="8"/>
  <c r="C161" i="8"/>
  <c r="D161" i="8" s="1"/>
  <c r="D160" i="8"/>
  <c r="E160" i="8" s="1"/>
  <c r="C160" i="8"/>
  <c r="C159" i="8"/>
  <c r="D159" i="8" s="1"/>
  <c r="E159" i="8" s="1"/>
  <c r="C158" i="8"/>
  <c r="D158" i="8" s="1"/>
  <c r="E158" i="8" s="1"/>
  <c r="C157" i="8"/>
  <c r="D157" i="8" s="1"/>
  <c r="E157" i="8" s="1"/>
  <c r="D156" i="8"/>
  <c r="E156" i="8" s="1"/>
  <c r="C156" i="8"/>
  <c r="C155" i="8"/>
  <c r="D155" i="8" s="1"/>
  <c r="E155" i="8" s="1"/>
  <c r="C154" i="8"/>
  <c r="D154" i="8" s="1"/>
  <c r="E154" i="8" s="1"/>
  <c r="C153" i="8"/>
  <c r="D153" i="8" s="1"/>
  <c r="E153" i="8" s="1"/>
  <c r="D152" i="8"/>
  <c r="E152" i="8" s="1"/>
  <c r="C152" i="8"/>
  <c r="C151" i="8"/>
  <c r="D151" i="8" s="1"/>
  <c r="E151" i="8" s="1"/>
  <c r="C150" i="8"/>
  <c r="D150" i="8" s="1"/>
  <c r="E150" i="8" s="1"/>
  <c r="C149" i="8"/>
  <c r="D149" i="8" s="1"/>
  <c r="E149" i="8" s="1"/>
  <c r="D148" i="8"/>
  <c r="E148" i="8" s="1"/>
  <c r="C147" i="8"/>
  <c r="D147" i="8" s="1"/>
  <c r="E147" i="8" s="1"/>
  <c r="C146" i="8"/>
  <c r="D146" i="8" s="1"/>
  <c r="E146" i="8" s="1"/>
  <c r="C145" i="8"/>
  <c r="D145" i="8" s="1"/>
  <c r="E145" i="8" s="1"/>
  <c r="C144" i="8"/>
  <c r="D144" i="8" s="1"/>
  <c r="E144" i="8" s="1"/>
  <c r="C143" i="8"/>
  <c r="D143" i="8" s="1"/>
  <c r="E143" i="8" s="1"/>
  <c r="C142" i="8"/>
  <c r="D142" i="8" s="1"/>
  <c r="E142" i="8" s="1"/>
  <c r="C141" i="8"/>
  <c r="D141" i="8" s="1"/>
  <c r="E141" i="8" s="1"/>
  <c r="C140" i="8"/>
  <c r="D140" i="8" s="1"/>
  <c r="E140" i="8" s="1"/>
  <c r="C139" i="8"/>
  <c r="D139" i="8" s="1"/>
  <c r="E139" i="8" s="1"/>
  <c r="C138" i="8"/>
  <c r="D138" i="8" s="1"/>
  <c r="E138" i="8" s="1"/>
  <c r="D137" i="8"/>
  <c r="E137" i="8" s="1"/>
  <c r="C136" i="8"/>
  <c r="D136" i="8" s="1"/>
  <c r="E136" i="8" s="1"/>
  <c r="C135" i="8"/>
  <c r="D135" i="8" s="1"/>
  <c r="E135" i="8" s="1"/>
  <c r="C134" i="8"/>
  <c r="D134" i="8" s="1"/>
  <c r="E134" i="8" s="1"/>
  <c r="C133" i="8"/>
  <c r="D133" i="8" s="1"/>
  <c r="E133" i="8" s="1"/>
  <c r="C132" i="8"/>
  <c r="D132" i="8" s="1"/>
  <c r="E132" i="8" s="1"/>
  <c r="C131" i="8"/>
  <c r="D131" i="8" s="1"/>
  <c r="E131" i="8" s="1"/>
  <c r="C130" i="8"/>
  <c r="D130" i="8" s="1"/>
  <c r="E130" i="8" s="1"/>
  <c r="C129" i="8"/>
  <c r="D129" i="8" s="1"/>
  <c r="E129" i="8" s="1"/>
  <c r="C128" i="8"/>
  <c r="D128" i="8" s="1"/>
  <c r="E128" i="8" s="1"/>
  <c r="C127" i="8"/>
  <c r="D127" i="8" s="1"/>
  <c r="E127" i="8" s="1"/>
  <c r="C126" i="8"/>
  <c r="D126" i="8" s="1"/>
  <c r="E126" i="8" s="1"/>
  <c r="C125" i="8"/>
  <c r="D125" i="8" s="1"/>
  <c r="E125" i="8" s="1"/>
  <c r="C124" i="8"/>
  <c r="D124" i="8" s="1"/>
  <c r="E124" i="8" s="1"/>
  <c r="C123" i="8"/>
  <c r="D123" i="8" s="1"/>
  <c r="E123" i="8" s="1"/>
  <c r="C122" i="8"/>
  <c r="D122" i="8" s="1"/>
  <c r="E122" i="8" s="1"/>
  <c r="C121" i="8"/>
  <c r="D121" i="8" s="1"/>
  <c r="E121" i="8" s="1"/>
  <c r="C120" i="8"/>
  <c r="D120" i="8" s="1"/>
  <c r="E120" i="8" s="1"/>
  <c r="C119" i="8"/>
  <c r="D119" i="8" s="1"/>
  <c r="E119" i="8" s="1"/>
  <c r="C118" i="8"/>
  <c r="D118" i="8" s="1"/>
  <c r="E118" i="8" s="1"/>
  <c r="C117" i="8"/>
  <c r="D117" i="8" s="1"/>
  <c r="E117" i="8" s="1"/>
  <c r="C116" i="8"/>
  <c r="D116" i="8" s="1"/>
  <c r="E116" i="8" s="1"/>
  <c r="C115" i="8"/>
  <c r="D115" i="8" s="1"/>
  <c r="E115" i="8" s="1"/>
  <c r="C114" i="8"/>
  <c r="D114" i="8" s="1"/>
  <c r="E114" i="8" s="1"/>
  <c r="C113" i="8"/>
  <c r="D113" i="8" s="1"/>
  <c r="E113" i="8" s="1"/>
  <c r="D112" i="8"/>
  <c r="E112" i="8" s="1"/>
  <c r="D111" i="8"/>
  <c r="E111" i="8" s="1"/>
  <c r="C111" i="8"/>
  <c r="C110" i="8"/>
  <c r="D110" i="8" s="1"/>
  <c r="E110" i="8" s="1"/>
  <c r="C109" i="8"/>
  <c r="D109" i="8" s="1"/>
  <c r="E109" i="8" s="1"/>
  <c r="C108" i="8"/>
  <c r="D108" i="8" s="1"/>
  <c r="E108" i="8" s="1"/>
  <c r="D107" i="8"/>
  <c r="E107" i="8" s="1"/>
  <c r="C107" i="8"/>
  <c r="C106" i="8"/>
  <c r="D106" i="8" s="1"/>
  <c r="E106" i="8" s="1"/>
  <c r="C105" i="8"/>
  <c r="D105" i="8" s="1"/>
  <c r="E105" i="8" s="1"/>
  <c r="C104" i="8"/>
  <c r="D104" i="8" s="1"/>
  <c r="E104" i="8" s="1"/>
  <c r="C103" i="8"/>
  <c r="D103" i="8" s="1"/>
  <c r="E103" i="8" s="1"/>
  <c r="C102" i="8"/>
  <c r="D102" i="8" s="1"/>
  <c r="E102" i="8" s="1"/>
  <c r="D101" i="8"/>
  <c r="E101" i="8" s="1"/>
  <c r="D100" i="8"/>
  <c r="E100" i="8" s="1"/>
  <c r="C100" i="8"/>
  <c r="D99" i="8"/>
  <c r="E99" i="8" s="1"/>
  <c r="C99" i="8"/>
  <c r="C98" i="8"/>
  <c r="D98" i="8" s="1"/>
  <c r="E98" i="8" s="1"/>
  <c r="C97" i="8"/>
  <c r="D97" i="8" s="1"/>
  <c r="E97" i="8" s="1"/>
  <c r="C96" i="8"/>
  <c r="D96" i="8" s="1"/>
  <c r="E96" i="8" s="1"/>
  <c r="C95" i="8"/>
  <c r="D95" i="8" s="1"/>
  <c r="E95" i="8" s="1"/>
  <c r="D94" i="8"/>
  <c r="E94" i="8" s="1"/>
  <c r="C94" i="8"/>
  <c r="C93" i="8"/>
  <c r="D93" i="8" s="1"/>
  <c r="E93" i="8" s="1"/>
  <c r="D92" i="8"/>
  <c r="E92" i="8" s="1"/>
  <c r="C92" i="8"/>
  <c r="D91" i="8"/>
  <c r="E91" i="8" s="1"/>
  <c r="C91" i="8"/>
  <c r="D90" i="8"/>
  <c r="E90" i="8" s="1"/>
  <c r="C89" i="8"/>
  <c r="D89" i="8" s="1"/>
  <c r="E89" i="8" s="1"/>
  <c r="C88" i="8"/>
  <c r="D88" i="8" s="1"/>
  <c r="E88" i="8" s="1"/>
  <c r="C87" i="8"/>
  <c r="D87" i="8" s="1"/>
  <c r="E87" i="8" s="1"/>
  <c r="C86" i="8"/>
  <c r="D86" i="8" s="1"/>
  <c r="E86" i="8" s="1"/>
  <c r="D85" i="8"/>
  <c r="E85" i="8" s="1"/>
  <c r="C85" i="8"/>
  <c r="C84" i="8"/>
  <c r="D84" i="8" s="1"/>
  <c r="E84" i="8" s="1"/>
  <c r="C83" i="8"/>
  <c r="D83" i="8" s="1"/>
  <c r="E83" i="8" s="1"/>
  <c r="C82" i="8"/>
  <c r="D82" i="8" s="1"/>
  <c r="E82" i="8" s="1"/>
  <c r="C81" i="8"/>
  <c r="D81" i="8" s="1"/>
  <c r="E81" i="8" s="1"/>
  <c r="C80" i="8"/>
  <c r="D80" i="8" s="1"/>
  <c r="E80" i="8" s="1"/>
  <c r="C79" i="8"/>
  <c r="D79" i="8" s="1"/>
  <c r="E79" i="8" s="1"/>
  <c r="C78" i="8"/>
  <c r="D78" i="8" s="1"/>
  <c r="E78" i="8" s="1"/>
  <c r="D77" i="8"/>
  <c r="E77" i="8" s="1"/>
  <c r="C77" i="8"/>
  <c r="C76" i="8"/>
  <c r="D76" i="8" s="1"/>
  <c r="E76" i="8" s="1"/>
  <c r="C75" i="8"/>
  <c r="D75" i="8" s="1"/>
  <c r="E75" i="8" s="1"/>
  <c r="C74" i="8"/>
  <c r="D74" i="8" s="1"/>
  <c r="E74" i="8" s="1"/>
  <c r="C73" i="8"/>
  <c r="D73" i="8" s="1"/>
  <c r="E73" i="8" s="1"/>
  <c r="C72" i="8"/>
  <c r="D72" i="8" s="1"/>
  <c r="E72" i="8" s="1"/>
  <c r="C71" i="8"/>
  <c r="D71" i="8" s="1"/>
  <c r="E71" i="8" s="1"/>
  <c r="C70" i="8"/>
  <c r="D70" i="8" s="1"/>
  <c r="E70" i="8" s="1"/>
  <c r="D69" i="8"/>
  <c r="E69" i="8" s="1"/>
  <c r="C68" i="8"/>
  <c r="D68" i="8" s="1"/>
  <c r="E68" i="8" s="1"/>
  <c r="C67" i="8"/>
  <c r="D67" i="8" s="1"/>
  <c r="E67" i="8" s="1"/>
  <c r="C66" i="8"/>
  <c r="D66" i="8" s="1"/>
  <c r="E66" i="8" s="1"/>
  <c r="C65" i="8"/>
  <c r="D65" i="8" s="1"/>
  <c r="E65" i="8" s="1"/>
  <c r="C64" i="8"/>
  <c r="D64" i="8" s="1"/>
  <c r="E64" i="8" s="1"/>
  <c r="C63" i="8"/>
  <c r="D63" i="8" s="1"/>
  <c r="E63" i="8" s="1"/>
  <c r="D62" i="8"/>
  <c r="E62" i="8" s="1"/>
  <c r="C62" i="8"/>
  <c r="C61" i="8"/>
  <c r="D61" i="8" s="1"/>
  <c r="E61" i="8" s="1"/>
  <c r="C60" i="8"/>
  <c r="D60" i="8" s="1"/>
  <c r="E60" i="8" s="1"/>
  <c r="C59" i="8"/>
  <c r="D59" i="8" s="1"/>
  <c r="E59" i="8" s="1"/>
  <c r="C58" i="8"/>
  <c r="D58" i="8" s="1"/>
  <c r="E58" i="8" s="1"/>
  <c r="C57" i="8"/>
  <c r="D57" i="8" s="1"/>
  <c r="E57" i="8" s="1"/>
  <c r="C56" i="8"/>
  <c r="D56" i="8" s="1"/>
  <c r="E56" i="8" s="1"/>
  <c r="C55" i="8"/>
  <c r="D55" i="8" s="1"/>
  <c r="E55" i="8" s="1"/>
  <c r="D54" i="8"/>
  <c r="E54" i="8" s="1"/>
  <c r="C54" i="8"/>
  <c r="C53" i="8"/>
  <c r="D53" i="8" s="1"/>
  <c r="E53" i="8" s="1"/>
  <c r="C52" i="8"/>
  <c r="D52" i="8" s="1"/>
  <c r="E52" i="8" s="1"/>
  <c r="C51" i="8"/>
  <c r="D51" i="8" s="1"/>
  <c r="E51" i="8" s="1"/>
  <c r="C50" i="8"/>
  <c r="D50" i="8" s="1"/>
  <c r="E50" i="8" s="1"/>
  <c r="C49" i="8"/>
  <c r="D49" i="8" s="1"/>
  <c r="E49" i="8" s="1"/>
  <c r="C48" i="8"/>
  <c r="D48" i="8" s="1"/>
  <c r="E48" i="8" s="1"/>
  <c r="C47" i="8"/>
  <c r="D47" i="8" s="1"/>
  <c r="E47" i="8" s="1"/>
  <c r="D46" i="8"/>
  <c r="E46" i="8" s="1"/>
  <c r="C46" i="8"/>
  <c r="C45" i="8"/>
  <c r="D45" i="8" s="1"/>
  <c r="E45" i="8" s="1"/>
  <c r="C44" i="8"/>
  <c r="D44" i="8" s="1"/>
  <c r="E44" i="8" s="1"/>
  <c r="C43" i="8"/>
  <c r="D43" i="8" s="1"/>
  <c r="E43" i="8" s="1"/>
  <c r="C42" i="8"/>
  <c r="D42" i="8" s="1"/>
  <c r="E42" i="8" s="1"/>
  <c r="C41" i="8"/>
  <c r="D41" i="8" s="1"/>
  <c r="E41" i="8" s="1"/>
  <c r="C40" i="8"/>
  <c r="D40" i="8" s="1"/>
  <c r="E40" i="8" s="1"/>
  <c r="C39" i="8"/>
  <c r="D39" i="8" s="1"/>
  <c r="E39" i="8" s="1"/>
  <c r="D38" i="8"/>
  <c r="E38" i="8" s="1"/>
  <c r="C38" i="8"/>
  <c r="C37" i="8"/>
  <c r="D37" i="8" s="1"/>
  <c r="E37" i="8" s="1"/>
  <c r="C36" i="8"/>
  <c r="D36" i="8" s="1"/>
  <c r="E36" i="8" s="1"/>
  <c r="C35" i="8"/>
  <c r="D35" i="8" s="1"/>
  <c r="E35" i="8" s="1"/>
  <c r="D34" i="8"/>
  <c r="E34" i="8" s="1"/>
  <c r="C33" i="8"/>
  <c r="D33" i="8" s="1"/>
  <c r="E33" i="8" s="1"/>
  <c r="C32" i="8"/>
  <c r="D32" i="8" s="1"/>
  <c r="E32" i="8" s="1"/>
  <c r="D31" i="8"/>
  <c r="E31" i="8" s="1"/>
  <c r="C31" i="8"/>
  <c r="C30" i="8"/>
  <c r="D30" i="8" s="1"/>
  <c r="E30" i="8" s="1"/>
  <c r="C29" i="8"/>
  <c r="D29" i="8" s="1"/>
  <c r="E29" i="8" s="1"/>
  <c r="C28" i="8"/>
  <c r="D28" i="8" s="1"/>
  <c r="E28" i="8" s="1"/>
  <c r="C27" i="8"/>
  <c r="D27" i="8" s="1"/>
  <c r="E27" i="8" s="1"/>
  <c r="C26" i="8"/>
  <c r="D26" i="8" s="1"/>
  <c r="E26" i="8" s="1"/>
  <c r="C25" i="8"/>
  <c r="D25" i="8" s="1"/>
  <c r="E25" i="8" s="1"/>
  <c r="C24" i="8"/>
  <c r="D24" i="8" s="1"/>
  <c r="E24" i="8" s="1"/>
  <c r="D23" i="8"/>
  <c r="E23" i="8" s="1"/>
  <c r="C23" i="8"/>
  <c r="C22" i="8"/>
  <c r="D22" i="8" s="1"/>
  <c r="E22" i="8" s="1"/>
  <c r="C21" i="8"/>
  <c r="D21" i="8" s="1"/>
  <c r="E21" i="8" s="1"/>
  <c r="C20" i="8"/>
  <c r="D20" i="8" s="1"/>
  <c r="E20" i="8" s="1"/>
  <c r="C19" i="8"/>
  <c r="D19" i="8" s="1"/>
  <c r="E19" i="8" s="1"/>
  <c r="C18" i="8"/>
  <c r="D18" i="8" s="1"/>
  <c r="E18" i="8" s="1"/>
  <c r="C17" i="8"/>
  <c r="D17" i="8" s="1"/>
  <c r="E17" i="8" s="1"/>
  <c r="C16" i="8"/>
  <c r="D16" i="8" s="1"/>
  <c r="E16" i="8" s="1"/>
  <c r="D15" i="8"/>
  <c r="E15" i="8" s="1"/>
  <c r="C15" i="8"/>
  <c r="C14" i="8"/>
  <c r="D14" i="8" s="1"/>
  <c r="E14" i="8" s="1"/>
  <c r="C13" i="8"/>
  <c r="D13" i="8" s="1"/>
  <c r="E13" i="8" s="1"/>
  <c r="C12" i="8"/>
  <c r="D12" i="8" s="1"/>
  <c r="E12" i="8" s="1"/>
  <c r="D11" i="8"/>
  <c r="E11" i="8" s="1"/>
  <c r="C11" i="8"/>
  <c r="C10" i="8"/>
  <c r="D10" i="8" s="1"/>
  <c r="E10" i="8" s="1"/>
  <c r="C9" i="8"/>
  <c r="D9" i="8" s="1"/>
  <c r="E9" i="8" s="1"/>
  <c r="C8" i="8"/>
  <c r="D8" i="8" s="1"/>
  <c r="E8" i="8" s="1"/>
  <c r="D7" i="8"/>
  <c r="E7" i="8" s="1"/>
  <c r="C7" i="8"/>
  <c r="C6" i="8"/>
  <c r="D6" i="8" s="1"/>
  <c r="E6" i="8" s="1"/>
  <c r="C5" i="8"/>
  <c r="D5" i="8" s="1"/>
  <c r="E5" i="8" s="1"/>
  <c r="C4" i="8"/>
  <c r="D4" i="8" s="1"/>
  <c r="E4" i="8" s="1"/>
  <c r="D3" i="8"/>
  <c r="E3" i="8" s="1"/>
  <c r="C3" i="8"/>
  <c r="F197" i="5"/>
  <c r="G197" i="5" s="1"/>
  <c r="F196" i="5"/>
  <c r="G196" i="5" s="1"/>
  <c r="F195" i="5"/>
  <c r="G195" i="5" s="1"/>
  <c r="F194" i="5"/>
  <c r="G194" i="5" s="1"/>
  <c r="F193" i="5"/>
  <c r="G193" i="5" s="1"/>
  <c r="K192" i="5"/>
  <c r="L192" i="5" s="1"/>
  <c r="F192" i="5"/>
  <c r="G192" i="5" s="1"/>
  <c r="K191" i="5"/>
  <c r="L191" i="5" s="1"/>
  <c r="F191" i="5"/>
  <c r="G191" i="5" s="1"/>
  <c r="K190" i="5"/>
  <c r="L190" i="5" s="1"/>
  <c r="F190" i="5"/>
  <c r="G190" i="5" s="1"/>
  <c r="K189" i="5"/>
  <c r="L189" i="5" s="1"/>
  <c r="F189" i="5"/>
  <c r="G189" i="5" s="1"/>
  <c r="K188" i="5"/>
  <c r="L188" i="5" s="1"/>
  <c r="F188" i="5"/>
  <c r="G188" i="5" s="1"/>
  <c r="K187" i="5"/>
  <c r="L187" i="5" s="1"/>
  <c r="F187" i="5"/>
  <c r="G187" i="5" s="1"/>
  <c r="K186" i="5"/>
  <c r="L186" i="5" s="1"/>
  <c r="F186" i="5"/>
  <c r="G186" i="5" s="1"/>
  <c r="K185" i="5"/>
  <c r="L185" i="5" s="1"/>
  <c r="F185" i="5"/>
  <c r="G185" i="5" s="1"/>
  <c r="K184" i="5"/>
  <c r="L184" i="5" s="1"/>
  <c r="F184" i="5"/>
  <c r="G184" i="5" s="1"/>
  <c r="K183" i="5"/>
  <c r="L183" i="5" s="1"/>
  <c r="F183" i="5"/>
  <c r="G183" i="5" s="1"/>
  <c r="K182" i="5"/>
  <c r="L182" i="5" s="1"/>
  <c r="F182" i="5"/>
  <c r="G182" i="5" s="1"/>
  <c r="K181" i="5"/>
  <c r="L181" i="5" s="1"/>
  <c r="F181" i="5"/>
  <c r="G181" i="5" s="1"/>
  <c r="L180" i="5"/>
  <c r="K180" i="5"/>
  <c r="F180" i="5"/>
  <c r="G180" i="5" s="1"/>
  <c r="K179" i="5"/>
  <c r="L179" i="5" s="1"/>
  <c r="F179" i="5"/>
  <c r="G179" i="5" s="1"/>
  <c r="K178" i="5"/>
  <c r="L178" i="5" s="1"/>
  <c r="F178" i="5"/>
  <c r="G178" i="5" s="1"/>
  <c r="K177" i="5"/>
  <c r="L177" i="5" s="1"/>
  <c r="F177" i="5"/>
  <c r="G177" i="5" s="1"/>
  <c r="K176" i="5"/>
  <c r="L176" i="5" s="1"/>
  <c r="F176" i="5"/>
  <c r="G176" i="5" s="1"/>
  <c r="K175" i="5"/>
  <c r="L175" i="5" s="1"/>
  <c r="F175" i="5"/>
  <c r="G175" i="5" s="1"/>
  <c r="K174" i="5"/>
  <c r="L174" i="5" s="1"/>
  <c r="F174" i="5"/>
  <c r="G174" i="5" s="1"/>
  <c r="T173" i="5"/>
  <c r="U173" i="5" s="1"/>
  <c r="T172" i="5"/>
  <c r="U172" i="5" s="1"/>
  <c r="T171" i="5"/>
  <c r="U171" i="5" s="1"/>
  <c r="T170" i="5"/>
  <c r="U170" i="5" s="1"/>
  <c r="T169" i="5"/>
  <c r="U169" i="5" s="1"/>
  <c r="T168" i="5"/>
  <c r="U168" i="5" s="1"/>
  <c r="T167" i="5"/>
  <c r="U167" i="5" s="1"/>
  <c r="K167" i="5"/>
  <c r="L167" i="5" s="1"/>
  <c r="F167" i="5"/>
  <c r="G167" i="5" s="1"/>
  <c r="T166" i="5"/>
  <c r="U166" i="5" s="1"/>
  <c r="K166" i="5"/>
  <c r="L166" i="5" s="1"/>
  <c r="F166" i="5"/>
  <c r="G166" i="5" s="1"/>
  <c r="T165" i="5"/>
  <c r="U165" i="5" s="1"/>
  <c r="K165" i="5"/>
  <c r="L165" i="5" s="1"/>
  <c r="F165" i="5"/>
  <c r="G165" i="5" s="1"/>
  <c r="T164" i="5"/>
  <c r="U164" i="5" s="1"/>
  <c r="K164" i="5"/>
  <c r="L164" i="5" s="1"/>
  <c r="F164" i="5"/>
  <c r="G164" i="5" s="1"/>
  <c r="T163" i="5"/>
  <c r="U163" i="5" s="1"/>
  <c r="K163" i="5"/>
  <c r="L163" i="5" s="1"/>
  <c r="F163" i="5"/>
  <c r="G163" i="5" s="1"/>
  <c r="Z162" i="5"/>
  <c r="AA162" i="5" s="1"/>
  <c r="T162" i="5"/>
  <c r="U162" i="5" s="1"/>
  <c r="K162" i="5"/>
  <c r="L162" i="5" s="1"/>
  <c r="F162" i="5"/>
  <c r="G162" i="5" s="1"/>
  <c r="Z161" i="5"/>
  <c r="AA161" i="5" s="1"/>
  <c r="T161" i="5"/>
  <c r="U161" i="5" s="1"/>
  <c r="K161" i="5"/>
  <c r="L161" i="5" s="1"/>
  <c r="F161" i="5"/>
  <c r="G161" i="5" s="1"/>
  <c r="Z160" i="5"/>
  <c r="AA160" i="5" s="1"/>
  <c r="T160" i="5"/>
  <c r="U160" i="5" s="1"/>
  <c r="K160" i="5"/>
  <c r="L160" i="5" s="1"/>
  <c r="F160" i="5"/>
  <c r="G160" i="5" s="1"/>
  <c r="Z159" i="5"/>
  <c r="AA159" i="5" s="1"/>
  <c r="T159" i="5"/>
  <c r="U159" i="5" s="1"/>
  <c r="K159" i="5"/>
  <c r="L159" i="5" s="1"/>
  <c r="F159" i="5"/>
  <c r="G159" i="5" s="1"/>
  <c r="Z158" i="5"/>
  <c r="AA158" i="5" s="1"/>
  <c r="T158" i="5"/>
  <c r="U158" i="5" s="1"/>
  <c r="K158" i="5"/>
  <c r="L158" i="5" s="1"/>
  <c r="F158" i="5"/>
  <c r="G158" i="5" s="1"/>
  <c r="Z157" i="5"/>
  <c r="AA157" i="5" s="1"/>
  <c r="T157" i="5"/>
  <c r="U157" i="5" s="1"/>
  <c r="K157" i="5"/>
  <c r="L157" i="5" s="1"/>
  <c r="F157" i="5"/>
  <c r="G157" i="5" s="1"/>
  <c r="Z156" i="5"/>
  <c r="AA156" i="5" s="1"/>
  <c r="T156" i="5"/>
  <c r="U156" i="5" s="1"/>
  <c r="K156" i="5"/>
  <c r="L156" i="5" s="1"/>
  <c r="F156" i="5"/>
  <c r="G156" i="5" s="1"/>
  <c r="Z155" i="5"/>
  <c r="AA155" i="5" s="1"/>
  <c r="U155" i="5"/>
  <c r="T155" i="5"/>
  <c r="K155" i="5"/>
  <c r="L155" i="5" s="1"/>
  <c r="F155" i="5"/>
  <c r="G155" i="5" s="1"/>
  <c r="Z154" i="5"/>
  <c r="AA154" i="5" s="1"/>
  <c r="T154" i="5"/>
  <c r="U154" i="5" s="1"/>
  <c r="K154" i="5"/>
  <c r="L154" i="5" s="1"/>
  <c r="F154" i="5"/>
  <c r="G154" i="5" s="1"/>
  <c r="Z153" i="5"/>
  <c r="AA153" i="5" s="1"/>
  <c r="T153" i="5"/>
  <c r="U153" i="5" s="1"/>
  <c r="K153" i="5"/>
  <c r="L153" i="5" s="1"/>
  <c r="F153" i="5"/>
  <c r="G153" i="5" s="1"/>
  <c r="Z152" i="5"/>
  <c r="AA152" i="5" s="1"/>
  <c r="T152" i="5"/>
  <c r="U152" i="5" s="1"/>
  <c r="K152" i="5"/>
  <c r="L152" i="5" s="1"/>
  <c r="F152" i="5"/>
  <c r="G152" i="5" s="1"/>
  <c r="Z151" i="5"/>
  <c r="AA151" i="5" s="1"/>
  <c r="T151" i="5"/>
  <c r="U151" i="5" s="1"/>
  <c r="K151" i="5"/>
  <c r="L151" i="5" s="1"/>
  <c r="F151" i="5"/>
  <c r="G151" i="5" s="1"/>
  <c r="Z150" i="5"/>
  <c r="AA150" i="5" s="1"/>
  <c r="T150" i="5"/>
  <c r="U150" i="5" s="1"/>
  <c r="K150" i="5"/>
  <c r="L150" i="5" s="1"/>
  <c r="F150" i="5"/>
  <c r="G150" i="5" s="1"/>
  <c r="Z149" i="5"/>
  <c r="AA149" i="5" s="1"/>
  <c r="T149" i="5"/>
  <c r="U149" i="5" s="1"/>
  <c r="K149" i="5"/>
  <c r="L149" i="5" s="1"/>
  <c r="F149" i="5"/>
  <c r="G149" i="5" s="1"/>
  <c r="Z148" i="5"/>
  <c r="AA148" i="5" s="1"/>
  <c r="T148" i="5"/>
  <c r="U148" i="5" s="1"/>
  <c r="K148" i="5"/>
  <c r="L148" i="5" s="1"/>
  <c r="F148" i="5"/>
  <c r="G148" i="5" s="1"/>
  <c r="Z147" i="5"/>
  <c r="AA147" i="5" s="1"/>
  <c r="U147" i="5"/>
  <c r="T147" i="5"/>
  <c r="K147" i="5"/>
  <c r="L147" i="5" s="1"/>
  <c r="F147" i="5"/>
  <c r="G147" i="5" s="1"/>
  <c r="Z146" i="5"/>
  <c r="AA146" i="5" s="1"/>
  <c r="T146" i="5"/>
  <c r="U146" i="5" s="1"/>
  <c r="K146" i="5"/>
  <c r="L146" i="5" s="1"/>
  <c r="F146" i="5"/>
  <c r="G146" i="5" s="1"/>
  <c r="Z137" i="5"/>
  <c r="AA137" i="5" s="1"/>
  <c r="T137" i="5"/>
  <c r="U137" i="5" s="1"/>
  <c r="K137" i="5"/>
  <c r="L137" i="5" s="1"/>
  <c r="F137" i="5"/>
  <c r="G137" i="5" s="1"/>
  <c r="Z136" i="5"/>
  <c r="AA136" i="5" s="1"/>
  <c r="T136" i="5"/>
  <c r="U136" i="5" s="1"/>
  <c r="K136" i="5"/>
  <c r="L136" i="5" s="1"/>
  <c r="F136" i="5"/>
  <c r="G136" i="5" s="1"/>
  <c r="Z135" i="5"/>
  <c r="AA135" i="5" s="1"/>
  <c r="T135" i="5"/>
  <c r="U135" i="5" s="1"/>
  <c r="K135" i="5"/>
  <c r="L135" i="5" s="1"/>
  <c r="F135" i="5"/>
  <c r="G135" i="5" s="1"/>
  <c r="Z134" i="5"/>
  <c r="AA134" i="5" s="1"/>
  <c r="T134" i="5"/>
  <c r="U134" i="5" s="1"/>
  <c r="K134" i="5"/>
  <c r="L134" i="5" s="1"/>
  <c r="F134" i="5"/>
  <c r="G134" i="5" s="1"/>
  <c r="Z133" i="5"/>
  <c r="AA133" i="5" s="1"/>
  <c r="T133" i="5"/>
  <c r="U133" i="5" s="1"/>
  <c r="K133" i="5"/>
  <c r="L133" i="5" s="1"/>
  <c r="F133" i="5"/>
  <c r="G133" i="5" s="1"/>
  <c r="Z132" i="5"/>
  <c r="AA132" i="5" s="1"/>
  <c r="T132" i="5"/>
  <c r="U132" i="5" s="1"/>
  <c r="K132" i="5"/>
  <c r="L132" i="5" s="1"/>
  <c r="F132" i="5"/>
  <c r="G132" i="5" s="1"/>
  <c r="Z131" i="5"/>
  <c r="AA131" i="5" s="1"/>
  <c r="T131" i="5"/>
  <c r="U131" i="5" s="1"/>
  <c r="K131" i="5"/>
  <c r="L131" i="5" s="1"/>
  <c r="F131" i="5"/>
  <c r="G131" i="5" s="1"/>
  <c r="Z130" i="5"/>
  <c r="AA130" i="5" s="1"/>
  <c r="T130" i="5"/>
  <c r="U130" i="5" s="1"/>
  <c r="K130" i="5"/>
  <c r="L130" i="5" s="1"/>
  <c r="F130" i="5"/>
  <c r="G130" i="5" s="1"/>
  <c r="Z129" i="5"/>
  <c r="AA129" i="5" s="1"/>
  <c r="T129" i="5"/>
  <c r="U129" i="5" s="1"/>
  <c r="K129" i="5"/>
  <c r="L129" i="5" s="1"/>
  <c r="F129" i="5"/>
  <c r="G129" i="5" s="1"/>
  <c r="Z128" i="5"/>
  <c r="AA128" i="5" s="1"/>
  <c r="T128" i="5"/>
  <c r="U128" i="5" s="1"/>
  <c r="K128" i="5"/>
  <c r="L128" i="5" s="1"/>
  <c r="F128" i="5"/>
  <c r="G128" i="5" s="1"/>
  <c r="Z127" i="5"/>
  <c r="AA127" i="5" s="1"/>
  <c r="T127" i="5"/>
  <c r="U127" i="5" s="1"/>
  <c r="K127" i="5"/>
  <c r="L127" i="5" s="1"/>
  <c r="F127" i="5"/>
  <c r="G127" i="5" s="1"/>
  <c r="AA126" i="5"/>
  <c r="Z126" i="5"/>
  <c r="T126" i="5"/>
  <c r="U126" i="5" s="1"/>
  <c r="K126" i="5"/>
  <c r="L126" i="5" s="1"/>
  <c r="F126" i="5"/>
  <c r="G126" i="5" s="1"/>
  <c r="AA125" i="5"/>
  <c r="Z125" i="5"/>
  <c r="T125" i="5"/>
  <c r="U125" i="5" s="1"/>
  <c r="K125" i="5"/>
  <c r="L125" i="5" s="1"/>
  <c r="F125" i="5"/>
  <c r="G125" i="5" s="1"/>
  <c r="Z124" i="5"/>
  <c r="AA124" i="5" s="1"/>
  <c r="T124" i="5"/>
  <c r="U124" i="5" s="1"/>
  <c r="K124" i="5"/>
  <c r="L124" i="5" s="1"/>
  <c r="F124" i="5"/>
  <c r="G124" i="5" s="1"/>
  <c r="Z123" i="5"/>
  <c r="AA123" i="5" s="1"/>
  <c r="T123" i="5"/>
  <c r="U123" i="5" s="1"/>
  <c r="K123" i="5"/>
  <c r="L123" i="5" s="1"/>
  <c r="F123" i="5"/>
  <c r="G123" i="5" s="1"/>
  <c r="Z122" i="5"/>
  <c r="AA122" i="5" s="1"/>
  <c r="T122" i="5"/>
  <c r="U122" i="5" s="1"/>
  <c r="K122" i="5"/>
  <c r="L122" i="5" s="1"/>
  <c r="F122" i="5"/>
  <c r="G122" i="5" s="1"/>
  <c r="AA121" i="5"/>
  <c r="Z121" i="5"/>
  <c r="T121" i="5"/>
  <c r="U121" i="5" s="1"/>
  <c r="K121" i="5"/>
  <c r="L121" i="5" s="1"/>
  <c r="F121" i="5"/>
  <c r="G121" i="5" s="1"/>
  <c r="Z120" i="5"/>
  <c r="AA120" i="5" s="1"/>
  <c r="T120" i="5"/>
  <c r="U120" i="5" s="1"/>
  <c r="K120" i="5"/>
  <c r="L120" i="5" s="1"/>
  <c r="F120" i="5"/>
  <c r="G120" i="5" s="1"/>
  <c r="Z119" i="5"/>
  <c r="AA119" i="5" s="1"/>
  <c r="T119" i="5"/>
  <c r="U119" i="5" s="1"/>
  <c r="K119" i="5"/>
  <c r="L119" i="5" s="1"/>
  <c r="F119" i="5"/>
  <c r="G119" i="5" s="1"/>
  <c r="AA118" i="5"/>
  <c r="Z118" i="5"/>
  <c r="T118" i="5"/>
  <c r="U118" i="5" s="1"/>
  <c r="K118" i="5"/>
  <c r="L118" i="5" s="1"/>
  <c r="F118" i="5"/>
  <c r="G118" i="5" s="1"/>
  <c r="AA117" i="5"/>
  <c r="Z117" i="5"/>
  <c r="T117" i="5"/>
  <c r="U117" i="5" s="1"/>
  <c r="K117" i="5"/>
  <c r="L117" i="5" s="1"/>
  <c r="F117" i="5"/>
  <c r="G117" i="5" s="1"/>
  <c r="Z116" i="5"/>
  <c r="AA116" i="5" s="1"/>
  <c r="T116" i="5"/>
  <c r="U116" i="5" s="1"/>
  <c r="K116" i="5"/>
  <c r="L116" i="5" s="1"/>
  <c r="F116" i="5"/>
  <c r="G116" i="5" s="1"/>
  <c r="AA115" i="5"/>
  <c r="Z115" i="5"/>
  <c r="T115" i="5"/>
  <c r="U115" i="5" s="1"/>
  <c r="K115" i="5"/>
  <c r="L115" i="5" s="1"/>
  <c r="F115" i="5"/>
  <c r="G115" i="5" s="1"/>
  <c r="Z114" i="5"/>
  <c r="AA114" i="5" s="1"/>
  <c r="T114" i="5"/>
  <c r="U114" i="5" s="1"/>
  <c r="K114" i="5"/>
  <c r="L114" i="5" s="1"/>
  <c r="F114" i="5"/>
  <c r="G114" i="5" s="1"/>
  <c r="AA113" i="5"/>
  <c r="Z113" i="5"/>
  <c r="T113" i="5"/>
  <c r="U113" i="5" s="1"/>
  <c r="K113" i="5"/>
  <c r="L113" i="5" s="1"/>
  <c r="F113" i="5"/>
  <c r="G113" i="5" s="1"/>
  <c r="Z112" i="5"/>
  <c r="AA112" i="5" s="1"/>
  <c r="T112" i="5"/>
  <c r="U112" i="5" s="1"/>
  <c r="K112" i="5"/>
  <c r="L112" i="5" s="1"/>
  <c r="F112" i="5"/>
  <c r="G112" i="5" s="1"/>
  <c r="Z111" i="5"/>
  <c r="AA111" i="5" s="1"/>
  <c r="T111" i="5"/>
  <c r="U111" i="5" s="1"/>
  <c r="K111" i="5"/>
  <c r="L111" i="5" s="1"/>
  <c r="F111" i="5"/>
  <c r="G111" i="5" s="1"/>
  <c r="AA110" i="5"/>
  <c r="Z110" i="5"/>
  <c r="T110" i="5"/>
  <c r="U110" i="5" s="1"/>
  <c r="K110" i="5"/>
  <c r="L110" i="5" s="1"/>
  <c r="F110" i="5"/>
  <c r="G110" i="5" s="1"/>
  <c r="AA109" i="5"/>
  <c r="Z109" i="5"/>
  <c r="T109" i="5"/>
  <c r="U109" i="5" s="1"/>
  <c r="K109" i="5"/>
  <c r="L109" i="5" s="1"/>
  <c r="F109" i="5"/>
  <c r="G109" i="5" s="1"/>
  <c r="Z108" i="5"/>
  <c r="AA108" i="5" s="1"/>
  <c r="T108" i="5"/>
  <c r="U108" i="5" s="1"/>
  <c r="K108" i="5"/>
  <c r="L108" i="5" s="1"/>
  <c r="F108" i="5"/>
  <c r="G108" i="5" s="1"/>
  <c r="AA107" i="5"/>
  <c r="Z107" i="5"/>
  <c r="T107" i="5"/>
  <c r="U107" i="5" s="1"/>
  <c r="K107" i="5"/>
  <c r="L107" i="5" s="1"/>
  <c r="F107" i="5"/>
  <c r="G107" i="5" s="1"/>
  <c r="Z106" i="5"/>
  <c r="AA106" i="5" s="1"/>
  <c r="T106" i="5"/>
  <c r="U106" i="5" s="1"/>
  <c r="K106" i="5"/>
  <c r="L106" i="5" s="1"/>
  <c r="F106" i="5"/>
  <c r="G106" i="5" s="1"/>
  <c r="AA105" i="5"/>
  <c r="Z105" i="5"/>
  <c r="T105" i="5"/>
  <c r="U105" i="5" s="1"/>
  <c r="K105" i="5"/>
  <c r="L105" i="5" s="1"/>
  <c r="F105" i="5"/>
  <c r="G105" i="5" s="1"/>
  <c r="Z104" i="5"/>
  <c r="AA104" i="5" s="1"/>
  <c r="T104" i="5"/>
  <c r="U104" i="5" s="1"/>
  <c r="K104" i="5"/>
  <c r="L104" i="5" s="1"/>
  <c r="F104" i="5"/>
  <c r="G104" i="5" s="1"/>
  <c r="Z103" i="5"/>
  <c r="AA103" i="5" s="1"/>
  <c r="T103" i="5"/>
  <c r="U103" i="5" s="1"/>
  <c r="K103" i="5"/>
  <c r="L103" i="5" s="1"/>
  <c r="F103" i="5"/>
  <c r="G103" i="5" s="1"/>
  <c r="AA102" i="5"/>
  <c r="Z102" i="5"/>
  <c r="T102" i="5"/>
  <c r="U102" i="5" s="1"/>
  <c r="K102" i="5"/>
  <c r="L102" i="5" s="1"/>
  <c r="F102" i="5"/>
  <c r="G102" i="5" s="1"/>
  <c r="AA101" i="5"/>
  <c r="Z101" i="5"/>
  <c r="T101" i="5"/>
  <c r="U101" i="5" s="1"/>
  <c r="K101" i="5"/>
  <c r="L101" i="5" s="1"/>
  <c r="F101" i="5"/>
  <c r="G101" i="5" s="1"/>
  <c r="Z100" i="5"/>
  <c r="AA100" i="5" s="1"/>
  <c r="T100" i="5"/>
  <c r="U100" i="5" s="1"/>
  <c r="K100" i="5"/>
  <c r="L100" i="5" s="1"/>
  <c r="F100" i="5"/>
  <c r="G100" i="5" s="1"/>
  <c r="AA99" i="5"/>
  <c r="Z99" i="5"/>
  <c r="T99" i="5"/>
  <c r="U99" i="5" s="1"/>
  <c r="K99" i="5"/>
  <c r="L99" i="5" s="1"/>
  <c r="F99" i="5"/>
  <c r="G99" i="5" s="1"/>
  <c r="Z98" i="5"/>
  <c r="AA98" i="5" s="1"/>
  <c r="T98" i="5"/>
  <c r="U98" i="5" s="1"/>
  <c r="K98" i="5"/>
  <c r="L98" i="5" s="1"/>
  <c r="F98" i="5"/>
  <c r="G98" i="5" s="1"/>
  <c r="AA97" i="5"/>
  <c r="Z97" i="5"/>
  <c r="T97" i="5"/>
  <c r="U97" i="5" s="1"/>
  <c r="K97" i="5"/>
  <c r="L97" i="5" s="1"/>
  <c r="F97" i="5"/>
  <c r="G97" i="5" s="1"/>
  <c r="Z96" i="5"/>
  <c r="AA96" i="5" s="1"/>
  <c r="T96" i="5"/>
  <c r="U96" i="5" s="1"/>
  <c r="K96" i="5"/>
  <c r="L96" i="5" s="1"/>
  <c r="F96" i="5"/>
  <c r="G96" i="5" s="1"/>
  <c r="Z95" i="5"/>
  <c r="AA95" i="5" s="1"/>
  <c r="T95" i="5"/>
  <c r="U95" i="5" s="1"/>
  <c r="K95" i="5"/>
  <c r="L95" i="5" s="1"/>
  <c r="F95" i="5"/>
  <c r="G95" i="5" s="1"/>
  <c r="AA94" i="5"/>
  <c r="Z94" i="5"/>
  <c r="T94" i="5"/>
  <c r="U94" i="5" s="1"/>
  <c r="K94" i="5"/>
  <c r="L94" i="5" s="1"/>
  <c r="F94" i="5"/>
  <c r="G94" i="5" s="1"/>
  <c r="AA93" i="5"/>
  <c r="Z93" i="5"/>
  <c r="T93" i="5"/>
  <c r="U93" i="5" s="1"/>
  <c r="K93" i="5"/>
  <c r="L93" i="5" s="1"/>
  <c r="F93" i="5"/>
  <c r="G93" i="5" s="1"/>
  <c r="Z92" i="5"/>
  <c r="AA92" i="5" s="1"/>
  <c r="T92" i="5"/>
  <c r="U92" i="5" s="1"/>
  <c r="K92" i="5"/>
  <c r="L92" i="5" s="1"/>
  <c r="F92" i="5"/>
  <c r="G92" i="5" s="1"/>
  <c r="AA91" i="5"/>
  <c r="Z91" i="5"/>
  <c r="T91" i="5"/>
  <c r="U91" i="5" s="1"/>
  <c r="K91" i="5"/>
  <c r="L91" i="5" s="1"/>
  <c r="F91" i="5"/>
  <c r="G91" i="5" s="1"/>
  <c r="K86" i="5"/>
  <c r="L86" i="5" s="1"/>
  <c r="F86" i="5"/>
  <c r="G86" i="5" s="1"/>
  <c r="K85" i="5"/>
  <c r="L85" i="5" s="1"/>
  <c r="F85" i="5"/>
  <c r="G85" i="5" s="1"/>
  <c r="L84" i="5"/>
  <c r="K84" i="5"/>
  <c r="F84" i="5"/>
  <c r="G84" i="5" s="1"/>
  <c r="K83" i="5"/>
  <c r="L83" i="5" s="1"/>
  <c r="F83" i="5"/>
  <c r="G83" i="5" s="1"/>
  <c r="K82" i="5"/>
  <c r="L82" i="5" s="1"/>
  <c r="F82" i="5"/>
  <c r="G82" i="5" s="1"/>
  <c r="K81" i="5"/>
  <c r="L81" i="5" s="1"/>
  <c r="F81" i="5"/>
  <c r="G81" i="5" s="1"/>
  <c r="K80" i="5"/>
  <c r="L80" i="5" s="1"/>
  <c r="F80" i="5"/>
  <c r="G80" i="5" s="1"/>
  <c r="K79" i="5"/>
  <c r="L79" i="5" s="1"/>
  <c r="F79" i="5"/>
  <c r="G79" i="5" s="1"/>
  <c r="L78" i="5"/>
  <c r="K78" i="5"/>
  <c r="F78" i="5"/>
  <c r="G78" i="5" s="1"/>
  <c r="K77" i="5"/>
  <c r="L77" i="5" s="1"/>
  <c r="F77" i="5"/>
  <c r="G77" i="5" s="1"/>
  <c r="L76" i="5"/>
  <c r="K76" i="5"/>
  <c r="F76" i="5"/>
  <c r="G76" i="5" s="1"/>
  <c r="K75" i="5"/>
  <c r="L75" i="5" s="1"/>
  <c r="F75" i="5"/>
  <c r="G75" i="5" s="1"/>
  <c r="K74" i="5"/>
  <c r="L74" i="5" s="1"/>
  <c r="F74" i="5"/>
  <c r="G74" i="5" s="1"/>
  <c r="K73" i="5"/>
  <c r="L73" i="5" s="1"/>
  <c r="F73" i="5"/>
  <c r="G73" i="5" s="1"/>
  <c r="L72" i="5"/>
  <c r="K72" i="5"/>
  <c r="F72" i="5"/>
  <c r="G72" i="5" s="1"/>
  <c r="K71" i="5"/>
  <c r="L71" i="5" s="1"/>
  <c r="F71" i="5"/>
  <c r="G71" i="5" s="1"/>
  <c r="K67" i="5"/>
  <c r="L67" i="5" s="1"/>
  <c r="F67" i="5"/>
  <c r="G67" i="5" s="1"/>
  <c r="K66" i="5"/>
  <c r="L66" i="5" s="1"/>
  <c r="F66" i="5"/>
  <c r="G66" i="5" s="1"/>
  <c r="L65" i="5"/>
  <c r="K65" i="5"/>
  <c r="F65" i="5"/>
  <c r="G65" i="5" s="1"/>
  <c r="K64" i="5"/>
  <c r="L64" i="5" s="1"/>
  <c r="F64" i="5"/>
  <c r="G64" i="5" s="1"/>
  <c r="K63" i="5"/>
  <c r="L63" i="5" s="1"/>
  <c r="F63" i="5"/>
  <c r="G63" i="5" s="1"/>
  <c r="K62" i="5"/>
  <c r="L62" i="5" s="1"/>
  <c r="F62" i="5"/>
  <c r="G62" i="5" s="1"/>
  <c r="K61" i="5"/>
  <c r="L61" i="5" s="1"/>
  <c r="F61" i="5"/>
  <c r="G61" i="5" s="1"/>
  <c r="K60" i="5"/>
  <c r="L60" i="5" s="1"/>
  <c r="F60" i="5"/>
  <c r="G60" i="5" s="1"/>
  <c r="L59" i="5"/>
  <c r="K59" i="5"/>
  <c r="F59" i="5"/>
  <c r="G59" i="5" s="1"/>
  <c r="K58" i="5"/>
  <c r="L58" i="5" s="1"/>
  <c r="F58" i="5"/>
  <c r="G58" i="5" s="1"/>
  <c r="L57" i="5"/>
  <c r="K57" i="5"/>
  <c r="F57" i="5"/>
  <c r="G57" i="5" s="1"/>
  <c r="K56" i="5"/>
  <c r="L56" i="5" s="1"/>
  <c r="F56" i="5"/>
  <c r="G56" i="5" s="1"/>
  <c r="K55" i="5"/>
  <c r="L55" i="5" s="1"/>
  <c r="F55" i="5"/>
  <c r="G55" i="5" s="1"/>
  <c r="K54" i="5"/>
  <c r="L54" i="5" s="1"/>
  <c r="F54" i="5"/>
  <c r="G54" i="5" s="1"/>
  <c r="L53" i="5"/>
  <c r="K53" i="5"/>
  <c r="F53" i="5"/>
  <c r="G53" i="5" s="1"/>
  <c r="K52" i="5"/>
  <c r="L52" i="5" s="1"/>
  <c r="F52" i="5"/>
  <c r="G52" i="5" s="1"/>
  <c r="K51" i="5"/>
  <c r="L51" i="5" s="1"/>
  <c r="F51" i="5"/>
  <c r="G51" i="5" s="1"/>
  <c r="K50" i="5"/>
  <c r="L50" i="5" s="1"/>
  <c r="F50" i="5"/>
  <c r="G50" i="5" s="1"/>
  <c r="L49" i="5"/>
  <c r="K49" i="5"/>
  <c r="F49" i="5"/>
  <c r="G49" i="5" s="1"/>
  <c r="K45" i="5"/>
  <c r="L45" i="5" s="1"/>
  <c r="F45" i="5"/>
  <c r="G45" i="5" s="1"/>
  <c r="K44" i="5"/>
  <c r="L44" i="5" s="1"/>
  <c r="F44" i="5"/>
  <c r="G44" i="5" s="1"/>
  <c r="K43" i="5"/>
  <c r="L43" i="5" s="1"/>
  <c r="F43" i="5"/>
  <c r="G43" i="5" s="1"/>
  <c r="K42" i="5"/>
  <c r="L42" i="5" s="1"/>
  <c r="F42" i="5"/>
  <c r="G42" i="5" s="1"/>
  <c r="K41" i="5"/>
  <c r="L41" i="5" s="1"/>
  <c r="F41" i="5"/>
  <c r="G41" i="5" s="1"/>
  <c r="L40" i="5"/>
  <c r="K40" i="5"/>
  <c r="F40" i="5"/>
  <c r="G40" i="5" s="1"/>
  <c r="K39" i="5"/>
  <c r="L39" i="5" s="1"/>
  <c r="F39" i="5"/>
  <c r="G39" i="5" s="1"/>
  <c r="K38" i="5"/>
  <c r="L38" i="5" s="1"/>
  <c r="F38" i="5"/>
  <c r="G38" i="5" s="1"/>
  <c r="K37" i="5"/>
  <c r="L37" i="5" s="1"/>
  <c r="F37" i="5"/>
  <c r="G37" i="5" s="1"/>
  <c r="K36" i="5"/>
  <c r="L36" i="5" s="1"/>
  <c r="F36" i="5"/>
  <c r="G36" i="5" s="1"/>
  <c r="K35" i="5"/>
  <c r="L35" i="5" s="1"/>
  <c r="F35" i="5"/>
  <c r="G35" i="5" s="1"/>
  <c r="L34" i="5"/>
  <c r="K34" i="5"/>
  <c r="F34" i="5"/>
  <c r="G34" i="5" s="1"/>
  <c r="K33" i="5"/>
  <c r="L33" i="5" s="1"/>
  <c r="F33" i="5"/>
  <c r="G33" i="5" s="1"/>
  <c r="K32" i="5"/>
  <c r="L32" i="5" s="1"/>
  <c r="F32" i="5"/>
  <c r="G32" i="5" s="1"/>
  <c r="K31" i="5"/>
  <c r="L31" i="5" s="1"/>
  <c r="F31" i="5"/>
  <c r="G31" i="5" s="1"/>
  <c r="L30" i="5"/>
  <c r="K30" i="5"/>
  <c r="F30" i="5"/>
  <c r="G30" i="5" s="1"/>
  <c r="K29" i="5"/>
  <c r="L29" i="5" s="1"/>
  <c r="F29" i="5"/>
  <c r="G29" i="5" s="1"/>
  <c r="K28" i="5"/>
  <c r="L28" i="5" s="1"/>
  <c r="G28" i="5"/>
  <c r="F28" i="5"/>
  <c r="K27" i="5"/>
  <c r="L27" i="5" s="1"/>
  <c r="F27" i="5"/>
  <c r="G27" i="5" s="1"/>
  <c r="K23" i="5"/>
  <c r="L23" i="5" s="1"/>
  <c r="G23" i="5"/>
  <c r="F23" i="5"/>
  <c r="K22" i="5"/>
  <c r="L22" i="5" s="1"/>
  <c r="F22" i="5"/>
  <c r="G22" i="5" s="1"/>
  <c r="K21" i="5"/>
  <c r="L21" i="5" s="1"/>
  <c r="G21" i="5"/>
  <c r="F21" i="5"/>
  <c r="K20" i="5"/>
  <c r="L20" i="5" s="1"/>
  <c r="F20" i="5"/>
  <c r="G20" i="5" s="1"/>
  <c r="K19" i="5"/>
  <c r="L19" i="5" s="1"/>
  <c r="G19" i="5"/>
  <c r="F19" i="5"/>
  <c r="K18" i="5"/>
  <c r="L18" i="5" s="1"/>
  <c r="F18" i="5"/>
  <c r="G18" i="5" s="1"/>
  <c r="K17" i="5"/>
  <c r="L17" i="5" s="1"/>
  <c r="G17" i="5"/>
  <c r="F17" i="5"/>
  <c r="K16" i="5"/>
  <c r="L16" i="5" s="1"/>
  <c r="F16" i="5"/>
  <c r="G16" i="5" s="1"/>
  <c r="K15" i="5"/>
  <c r="L15" i="5" s="1"/>
  <c r="G15" i="5"/>
  <c r="F15" i="5"/>
  <c r="K14" i="5"/>
  <c r="L14" i="5" s="1"/>
  <c r="F14" i="5"/>
  <c r="G14" i="5" s="1"/>
  <c r="K13" i="5"/>
  <c r="L13" i="5" s="1"/>
  <c r="G13" i="5"/>
  <c r="F13" i="5"/>
  <c r="K12" i="5"/>
  <c r="L12" i="5" s="1"/>
  <c r="F12" i="5"/>
  <c r="G12" i="5" s="1"/>
  <c r="K11" i="5"/>
  <c r="L11" i="5" s="1"/>
  <c r="G11" i="5"/>
  <c r="F11" i="5"/>
  <c r="K10" i="5"/>
  <c r="L10" i="5" s="1"/>
  <c r="F10" i="5"/>
  <c r="G10" i="5" s="1"/>
  <c r="K9" i="5"/>
  <c r="L9" i="5" s="1"/>
  <c r="G9" i="5"/>
  <c r="F9" i="5"/>
  <c r="K8" i="5"/>
  <c r="L8" i="5" s="1"/>
  <c r="F8" i="5"/>
  <c r="G8" i="5" s="1"/>
  <c r="K7" i="5"/>
  <c r="L7" i="5" s="1"/>
  <c r="G7" i="5"/>
  <c r="F7" i="5"/>
  <c r="K6" i="5"/>
  <c r="L6" i="5" s="1"/>
  <c r="F6" i="5"/>
  <c r="G6" i="5" s="1"/>
  <c r="K5" i="5"/>
  <c r="L5" i="5" s="1"/>
  <c r="G5" i="5"/>
  <c r="F5" i="5"/>
  <c r="K24" i="4"/>
  <c r="K23" i="4"/>
  <c r="L23" i="4" s="1"/>
  <c r="M23" i="4" s="1"/>
  <c r="K22" i="4"/>
  <c r="L22" i="4" s="1"/>
  <c r="M22" i="4" s="1"/>
  <c r="K21" i="4"/>
  <c r="L21" i="4" s="1"/>
  <c r="M21" i="4" s="1"/>
  <c r="K20" i="4"/>
  <c r="K19" i="4"/>
  <c r="K18" i="4"/>
  <c r="L18" i="4" s="1"/>
  <c r="M18" i="4" s="1"/>
  <c r="K17" i="4"/>
  <c r="K16" i="4"/>
  <c r="K15" i="4"/>
  <c r="K14" i="4"/>
  <c r="L14" i="4" s="1"/>
  <c r="M14" i="4" s="1"/>
  <c r="K13" i="4"/>
  <c r="L13" i="4" s="1"/>
  <c r="M13" i="4" s="1"/>
  <c r="K12" i="4"/>
  <c r="K11" i="4"/>
  <c r="L11" i="4" s="1"/>
  <c r="M11" i="4" s="1"/>
  <c r="K10" i="4"/>
  <c r="K9" i="4"/>
  <c r="L9" i="4" s="1"/>
  <c r="M9" i="4" s="1"/>
  <c r="K8" i="4"/>
  <c r="K7" i="4"/>
  <c r="L10" i="4"/>
  <c r="M10" i="4" s="1"/>
  <c r="K6" i="4"/>
  <c r="L6" i="4" s="1"/>
  <c r="M6" i="4" s="1"/>
  <c r="L24" i="4"/>
  <c r="M24" i="4" s="1"/>
  <c r="L20" i="4"/>
  <c r="M20" i="4" s="1"/>
  <c r="L19" i="4"/>
  <c r="M19" i="4" s="1"/>
  <c r="L17" i="4"/>
  <c r="M17" i="4" s="1"/>
  <c r="L16" i="4"/>
  <c r="M16" i="4" s="1"/>
  <c r="L15" i="4"/>
  <c r="M15" i="4" s="1"/>
  <c r="L12" i="4"/>
  <c r="M12" i="4" s="1"/>
  <c r="L8" i="4"/>
  <c r="M8" i="4" s="1"/>
  <c r="L7" i="4"/>
  <c r="M7" i="4" s="1"/>
  <c r="D24" i="4"/>
  <c r="E24" i="4" s="1"/>
  <c r="F24" i="4" s="1"/>
  <c r="D23" i="4"/>
  <c r="E23" i="4" s="1"/>
  <c r="F23" i="4" s="1"/>
  <c r="D22" i="4"/>
  <c r="E22" i="4" s="1"/>
  <c r="F22" i="4" s="1"/>
  <c r="D21" i="4"/>
  <c r="E21" i="4" s="1"/>
  <c r="F21" i="4" s="1"/>
  <c r="D20" i="4"/>
  <c r="E20" i="4" s="1"/>
  <c r="F20" i="4" s="1"/>
  <c r="D19" i="4"/>
  <c r="E19" i="4" s="1"/>
  <c r="F19" i="4" s="1"/>
  <c r="D18" i="4"/>
  <c r="E18" i="4" s="1"/>
  <c r="F18" i="4" s="1"/>
  <c r="D17" i="4"/>
  <c r="E17" i="4" s="1"/>
  <c r="F17" i="4" s="1"/>
  <c r="D16" i="4"/>
  <c r="E16" i="4" s="1"/>
  <c r="F16" i="4" s="1"/>
  <c r="D15" i="4"/>
  <c r="E15" i="4" s="1"/>
  <c r="F15" i="4" s="1"/>
  <c r="D14" i="4"/>
  <c r="E14" i="4" s="1"/>
  <c r="F14" i="4" s="1"/>
  <c r="D13" i="4"/>
  <c r="E13" i="4" s="1"/>
  <c r="F13" i="4" s="1"/>
  <c r="E12" i="4"/>
  <c r="F12" i="4" s="1"/>
  <c r="D12" i="4"/>
  <c r="D11" i="4"/>
  <c r="E11" i="4" s="1"/>
  <c r="F11" i="4" s="1"/>
  <c r="D10" i="4"/>
  <c r="E10" i="4" s="1"/>
  <c r="F10" i="4" s="1"/>
  <c r="D9" i="4"/>
  <c r="E9" i="4" s="1"/>
  <c r="F9" i="4" s="1"/>
  <c r="D8" i="4"/>
  <c r="E8" i="4" s="1"/>
  <c r="F8" i="4" s="1"/>
  <c r="D7" i="4"/>
  <c r="E7" i="4" s="1"/>
  <c r="F7" i="4" s="1"/>
  <c r="D6" i="4"/>
  <c r="E6" i="4" s="1"/>
  <c r="F6" i="4" s="1"/>
  <c r="J50" i="3"/>
  <c r="K50" i="3" s="1"/>
  <c r="L50" i="3" s="1"/>
  <c r="J49" i="3"/>
  <c r="K49" i="3" s="1"/>
  <c r="L49" i="3" s="1"/>
  <c r="J48" i="3"/>
  <c r="K48" i="3" s="1"/>
  <c r="L48" i="3" s="1"/>
  <c r="J47" i="3"/>
  <c r="K47" i="3" s="1"/>
  <c r="L47" i="3" s="1"/>
  <c r="J46" i="3"/>
  <c r="K46" i="3" s="1"/>
  <c r="L46" i="3" s="1"/>
  <c r="J45" i="3"/>
  <c r="K45" i="3" s="1"/>
  <c r="L45" i="3" s="1"/>
  <c r="J44" i="3"/>
  <c r="K44" i="3" s="1"/>
  <c r="L44" i="3" s="1"/>
  <c r="J43" i="3"/>
  <c r="K43" i="3" s="1"/>
  <c r="L43" i="3" s="1"/>
  <c r="J42" i="3"/>
  <c r="K42" i="3" s="1"/>
  <c r="L42" i="3" s="1"/>
  <c r="J41" i="3"/>
  <c r="K41" i="3" s="1"/>
  <c r="L41" i="3" s="1"/>
  <c r="J40" i="3"/>
  <c r="K40" i="3" s="1"/>
  <c r="L40" i="3" s="1"/>
  <c r="J39" i="3"/>
  <c r="K39" i="3" s="1"/>
  <c r="L39" i="3" s="1"/>
  <c r="J38" i="3"/>
  <c r="K38" i="3" s="1"/>
  <c r="L38" i="3" s="1"/>
  <c r="J37" i="3"/>
  <c r="K37" i="3" s="1"/>
  <c r="L37" i="3" s="1"/>
  <c r="J36" i="3"/>
  <c r="K36" i="3" s="1"/>
  <c r="L36" i="3" s="1"/>
  <c r="J35" i="3"/>
  <c r="K35" i="3" s="1"/>
  <c r="L35" i="3" s="1"/>
  <c r="J34" i="3"/>
  <c r="K34" i="3" s="1"/>
  <c r="L34" i="3" s="1"/>
  <c r="J33" i="3"/>
  <c r="K33" i="3" s="1"/>
  <c r="L33" i="3" s="1"/>
  <c r="J32" i="3"/>
  <c r="K32" i="3" s="1"/>
  <c r="L32" i="3" s="1"/>
  <c r="D50" i="3"/>
  <c r="E50" i="3" s="1"/>
  <c r="F50" i="3" s="1"/>
  <c r="D49" i="3"/>
  <c r="E49" i="3" s="1"/>
  <c r="F49" i="3" s="1"/>
  <c r="D48" i="3"/>
  <c r="E48" i="3" s="1"/>
  <c r="F48" i="3" s="1"/>
  <c r="D47" i="3"/>
  <c r="E47" i="3" s="1"/>
  <c r="F47" i="3" s="1"/>
  <c r="D46" i="3"/>
  <c r="E46" i="3" s="1"/>
  <c r="F46" i="3" s="1"/>
  <c r="D45" i="3"/>
  <c r="E45" i="3" s="1"/>
  <c r="F45" i="3" s="1"/>
  <c r="D44" i="3"/>
  <c r="E44" i="3" s="1"/>
  <c r="F44" i="3" s="1"/>
  <c r="D43" i="3"/>
  <c r="E43" i="3" s="1"/>
  <c r="F43" i="3" s="1"/>
  <c r="D42" i="3"/>
  <c r="E42" i="3" s="1"/>
  <c r="F42" i="3" s="1"/>
  <c r="D41" i="3"/>
  <c r="E41" i="3" s="1"/>
  <c r="F41" i="3" s="1"/>
  <c r="D40" i="3"/>
  <c r="E40" i="3" s="1"/>
  <c r="F40" i="3" s="1"/>
  <c r="D39" i="3"/>
  <c r="E39" i="3" s="1"/>
  <c r="F39" i="3" s="1"/>
  <c r="D38" i="3"/>
  <c r="E38" i="3" s="1"/>
  <c r="F38" i="3" s="1"/>
  <c r="D37" i="3"/>
  <c r="E37" i="3" s="1"/>
  <c r="F37" i="3" s="1"/>
  <c r="E36" i="3"/>
  <c r="F36" i="3" s="1"/>
  <c r="D36" i="3"/>
  <c r="D35" i="3"/>
  <c r="E35" i="3" s="1"/>
  <c r="F35" i="3" s="1"/>
  <c r="D34" i="3"/>
  <c r="E34" i="3" s="1"/>
  <c r="F34" i="3" s="1"/>
  <c r="D33" i="3"/>
  <c r="E33" i="3" s="1"/>
  <c r="F33" i="3" s="1"/>
  <c r="D32" i="3"/>
  <c r="E32" i="3" s="1"/>
  <c r="F32" i="3" s="1"/>
  <c r="J19" i="3"/>
  <c r="K19" i="3" s="1"/>
  <c r="L19" i="3" s="1"/>
  <c r="J20" i="3"/>
  <c r="K20" i="3" s="1"/>
  <c r="L20" i="3" s="1"/>
  <c r="J21" i="3"/>
  <c r="K21" i="3" s="1"/>
  <c r="L21" i="3" s="1"/>
  <c r="J22" i="3"/>
  <c r="K22" i="3" s="1"/>
  <c r="L22" i="3" s="1"/>
  <c r="J23" i="3"/>
  <c r="K23" i="3" s="1"/>
  <c r="L23" i="3" s="1"/>
  <c r="J24" i="3"/>
  <c r="K24" i="3" s="1"/>
  <c r="L24" i="3" s="1"/>
  <c r="J25" i="3"/>
  <c r="K25" i="3" s="1"/>
  <c r="L25" i="3" s="1"/>
  <c r="J18" i="3"/>
  <c r="K18" i="3" s="1"/>
  <c r="L18" i="3" s="1"/>
  <c r="J12" i="3"/>
  <c r="K12" i="3" s="1"/>
  <c r="L12" i="3" s="1"/>
  <c r="E17" i="3"/>
  <c r="F17" i="3" s="1"/>
  <c r="D8" i="3"/>
  <c r="E8" i="3" s="1"/>
  <c r="F8" i="3" s="1"/>
  <c r="D9" i="3"/>
  <c r="E9" i="3" s="1"/>
  <c r="F9" i="3" s="1"/>
  <c r="D10" i="3"/>
  <c r="E10" i="3" s="1"/>
  <c r="F10" i="3" s="1"/>
  <c r="D11" i="3"/>
  <c r="E11" i="3" s="1"/>
  <c r="F11" i="3" s="1"/>
  <c r="D12" i="3"/>
  <c r="E12" i="3" s="1"/>
  <c r="F12" i="3" s="1"/>
  <c r="D13" i="3"/>
  <c r="E13" i="3" s="1"/>
  <c r="F13" i="3" s="1"/>
  <c r="D14" i="3"/>
  <c r="E14" i="3" s="1"/>
  <c r="F14" i="3" s="1"/>
  <c r="D15" i="3"/>
  <c r="E15" i="3" s="1"/>
  <c r="F15" i="3" s="1"/>
  <c r="D16" i="3"/>
  <c r="E16" i="3" s="1"/>
  <c r="F16" i="3" s="1"/>
  <c r="D17" i="3"/>
  <c r="D18" i="3"/>
  <c r="E18" i="3" s="1"/>
  <c r="F18" i="3" s="1"/>
  <c r="D19" i="3"/>
  <c r="E19" i="3" s="1"/>
  <c r="F19" i="3" s="1"/>
  <c r="D20" i="3"/>
  <c r="E20" i="3" s="1"/>
  <c r="F20" i="3" s="1"/>
  <c r="D21" i="3"/>
  <c r="E21" i="3" s="1"/>
  <c r="F21" i="3" s="1"/>
  <c r="D22" i="3"/>
  <c r="E22" i="3" s="1"/>
  <c r="F22" i="3" s="1"/>
  <c r="D23" i="3"/>
  <c r="E23" i="3" s="1"/>
  <c r="F23" i="3" s="1"/>
  <c r="D24" i="3"/>
  <c r="E24" i="3" s="1"/>
  <c r="F24" i="3" s="1"/>
  <c r="D25" i="3"/>
  <c r="E25" i="3" s="1"/>
  <c r="F25" i="3" s="1"/>
  <c r="D7" i="3"/>
  <c r="E7" i="3" s="1"/>
  <c r="F7" i="3" s="1"/>
  <c r="J17" i="3"/>
  <c r="K17" i="3" s="1"/>
  <c r="L17" i="3" s="1"/>
  <c r="J16" i="3"/>
  <c r="K16" i="3" s="1"/>
  <c r="L16" i="3" s="1"/>
  <c r="J15" i="3"/>
  <c r="K15" i="3" s="1"/>
  <c r="L15" i="3" s="1"/>
  <c r="J14" i="3"/>
  <c r="K14" i="3" s="1"/>
  <c r="L14" i="3" s="1"/>
  <c r="J13" i="3"/>
  <c r="K13" i="3" s="1"/>
  <c r="L13" i="3" s="1"/>
  <c r="J11" i="3"/>
  <c r="K11" i="3" s="1"/>
  <c r="L11" i="3" s="1"/>
  <c r="J10" i="3"/>
  <c r="K10" i="3" s="1"/>
  <c r="L10" i="3" s="1"/>
  <c r="J9" i="3"/>
  <c r="K9" i="3" s="1"/>
  <c r="L9" i="3" s="1"/>
  <c r="J8" i="3"/>
  <c r="K8" i="3" s="1"/>
  <c r="L8" i="3" s="1"/>
  <c r="J7" i="3"/>
  <c r="K7" i="3" s="1"/>
  <c r="L7" i="3" s="1"/>
  <c r="U25" i="1"/>
  <c r="U27" i="1"/>
  <c r="V20" i="1"/>
  <c r="T19" i="1"/>
  <c r="U19" i="1" s="1"/>
  <c r="V19" i="1" s="1"/>
  <c r="T20" i="1"/>
  <c r="U20" i="1" s="1"/>
  <c r="T32" i="1"/>
  <c r="T31" i="1"/>
  <c r="U31" i="1" s="1"/>
  <c r="T30" i="1"/>
  <c r="T29" i="1"/>
  <c r="T28" i="1"/>
  <c r="T27" i="1"/>
  <c r="T26" i="1"/>
  <c r="T25" i="1"/>
  <c r="T24" i="1"/>
  <c r="T23" i="1"/>
  <c r="U23" i="1" s="1"/>
  <c r="T22" i="1"/>
  <c r="T21" i="1"/>
  <c r="U26" i="1" l="1"/>
  <c r="V26" i="1" s="1"/>
  <c r="U24" i="1"/>
  <c r="V24" i="1" s="1"/>
  <c r="U22" i="1"/>
  <c r="V22" i="1" s="1"/>
  <c r="U30" i="1"/>
  <c r="V30" i="1" s="1"/>
  <c r="U28" i="1"/>
  <c r="V28" i="1" s="1"/>
  <c r="U32" i="1"/>
  <c r="V32" i="1" s="1"/>
  <c r="V25" i="1"/>
  <c r="U29" i="1"/>
  <c r="V29" i="1" s="1"/>
  <c r="U21" i="1"/>
  <c r="V21" i="1" s="1"/>
  <c r="V23" i="1"/>
  <c r="V27" i="1"/>
  <c r="V31" i="1"/>
  <c r="N24" i="1"/>
  <c r="N28" i="1"/>
  <c r="N32" i="1"/>
  <c r="L32" i="1"/>
  <c r="M32" i="1" s="1"/>
  <c r="L31" i="1"/>
  <c r="M31" i="1" s="1"/>
  <c r="N31" i="1" s="1"/>
  <c r="L30" i="1"/>
  <c r="M30" i="1" s="1"/>
  <c r="N30" i="1" s="1"/>
  <c r="L29" i="1"/>
  <c r="M29" i="1" s="1"/>
  <c r="N29" i="1" s="1"/>
  <c r="L28" i="1"/>
  <c r="M28" i="1" s="1"/>
  <c r="L27" i="1"/>
  <c r="M27" i="1" s="1"/>
  <c r="N27" i="1" s="1"/>
  <c r="L26" i="1"/>
  <c r="M26" i="1" s="1"/>
  <c r="N26" i="1" s="1"/>
  <c r="L25" i="1"/>
  <c r="M25" i="1" s="1"/>
  <c r="N25" i="1" s="1"/>
  <c r="L24" i="1"/>
  <c r="M24" i="1" s="1"/>
  <c r="L23" i="1"/>
  <c r="M23" i="1" s="1"/>
  <c r="N23" i="1" s="1"/>
  <c r="L22" i="1"/>
  <c r="M22" i="1" s="1"/>
  <c r="N22" i="1" s="1"/>
  <c r="L21" i="1"/>
  <c r="M21" i="1" s="1"/>
  <c r="N21" i="1" s="1"/>
  <c r="D42" i="1"/>
  <c r="E42" i="1" s="1"/>
  <c r="F41" i="1" s="1"/>
  <c r="D18" i="1"/>
  <c r="E18" i="1" s="1"/>
  <c r="F17" i="1" s="1"/>
  <c r="D19" i="1"/>
  <c r="E19" i="1" s="1"/>
  <c r="F18" i="1" s="1"/>
  <c r="D20" i="1"/>
  <c r="E20" i="1" s="1"/>
  <c r="F19" i="1" s="1"/>
  <c r="D21" i="1"/>
  <c r="E21" i="1" s="1"/>
  <c r="F20" i="1" s="1"/>
  <c r="D22" i="1"/>
  <c r="E22" i="1" s="1"/>
  <c r="F21" i="1" s="1"/>
  <c r="D23" i="1"/>
  <c r="E23" i="1" s="1"/>
  <c r="F22" i="1" s="1"/>
  <c r="D24" i="1"/>
  <c r="E24" i="1" s="1"/>
  <c r="F23" i="1" s="1"/>
  <c r="D25" i="1"/>
  <c r="E25" i="1" s="1"/>
  <c r="F24" i="1" s="1"/>
  <c r="D26" i="1"/>
  <c r="E26" i="1" s="1"/>
  <c r="F25" i="1" s="1"/>
  <c r="D27" i="1"/>
  <c r="E27" i="1" s="1"/>
  <c r="F26" i="1" s="1"/>
  <c r="D28" i="1"/>
  <c r="E28" i="1" s="1"/>
  <c r="F27" i="1" s="1"/>
  <c r="D29" i="1"/>
  <c r="E29" i="1" s="1"/>
  <c r="F28" i="1" s="1"/>
  <c r="D30" i="1"/>
  <c r="E30" i="1" s="1"/>
  <c r="F29" i="1" s="1"/>
  <c r="D31" i="1"/>
  <c r="E31" i="1" s="1"/>
  <c r="F30" i="1" s="1"/>
  <c r="D32" i="1"/>
  <c r="E32" i="1" s="1"/>
  <c r="F31" i="1" s="1"/>
  <c r="D33" i="1"/>
  <c r="E33" i="1" s="1"/>
  <c r="F32" i="1" s="1"/>
  <c r="D34" i="1"/>
  <c r="E34" i="1" s="1"/>
  <c r="F33" i="1" s="1"/>
  <c r="D35" i="1"/>
  <c r="E35" i="1" s="1"/>
  <c r="F34" i="1" s="1"/>
  <c r="D36" i="1"/>
  <c r="E36" i="1" s="1"/>
  <c r="F35" i="1" s="1"/>
  <c r="D37" i="1"/>
  <c r="E37" i="1" s="1"/>
  <c r="F36" i="1" s="1"/>
  <c r="D38" i="1"/>
  <c r="E38" i="1" s="1"/>
  <c r="F37" i="1" s="1"/>
  <c r="D39" i="1"/>
  <c r="E39" i="1" s="1"/>
  <c r="F38" i="1" s="1"/>
  <c r="D40" i="1"/>
  <c r="E40" i="1" s="1"/>
  <c r="F39" i="1" s="1"/>
  <c r="D41" i="1"/>
  <c r="E41" i="1" s="1"/>
  <c r="F40" i="1" s="1"/>
  <c r="D17" i="1"/>
  <c r="E17" i="1" s="1"/>
  <c r="F16" i="1" s="1"/>
  <c r="D16" i="1"/>
  <c r="E16" i="1" s="1"/>
  <c r="F15" i="1" s="1"/>
</calcChain>
</file>

<file path=xl/sharedStrings.xml><?xml version="1.0" encoding="utf-8"?>
<sst xmlns="http://schemas.openxmlformats.org/spreadsheetml/2006/main" count="1567" uniqueCount="1057">
  <si>
    <t>Standard HDPE Stubs</t>
  </si>
  <si>
    <t>Price Effective From</t>
  </si>
  <si>
    <t>2021-00-00</t>
  </si>
  <si>
    <t xml:space="preserve">SDR 21 </t>
  </si>
  <si>
    <t>PE100</t>
  </si>
  <si>
    <t>PN8</t>
  </si>
  <si>
    <t>MR S/M</t>
  </si>
  <si>
    <t>Forceflo</t>
  </si>
  <si>
    <t xml:space="preserve">AVE Cost </t>
  </si>
  <si>
    <t>Selling</t>
  </si>
  <si>
    <t>SDR 17</t>
  </si>
  <si>
    <t>PN 10</t>
  </si>
  <si>
    <t>SDR 13.6</t>
  </si>
  <si>
    <t>PN 12.5</t>
  </si>
  <si>
    <t>SDR 11</t>
  </si>
  <si>
    <t>PN 16</t>
  </si>
  <si>
    <t>SDR 9</t>
  </si>
  <si>
    <t>PN 20</t>
  </si>
  <si>
    <t>SDR 7.4</t>
  </si>
  <si>
    <t>PN 25</t>
  </si>
  <si>
    <t>SIZE mm</t>
  </si>
  <si>
    <t xml:space="preserve">Backing / Flanges </t>
  </si>
  <si>
    <t xml:space="preserve">TABLE D FLANGES </t>
  </si>
  <si>
    <t xml:space="preserve">TABLE 1000/3 FLANGES </t>
  </si>
  <si>
    <t xml:space="preserve">TABLE 1600/3 FLANGES </t>
  </si>
  <si>
    <t>Size mm</t>
  </si>
  <si>
    <t>110/125</t>
  </si>
  <si>
    <t>160/180</t>
  </si>
  <si>
    <t>200/225</t>
  </si>
  <si>
    <t xml:space="preserve">MR Stub </t>
  </si>
  <si>
    <t>Forceflow</t>
  </si>
  <si>
    <t>AVE cost</t>
  </si>
  <si>
    <t>Table/D</t>
  </si>
  <si>
    <t>1000/3</t>
  </si>
  <si>
    <t>1600/3</t>
  </si>
  <si>
    <t>Backing / Flanges -rings - HDG</t>
  </si>
  <si>
    <t>GP</t>
  </si>
  <si>
    <t xml:space="preserve"> HDPE  TAK  Stubs</t>
  </si>
  <si>
    <t>Victaulic Stubs</t>
  </si>
  <si>
    <t>90° ELBOW - PE100 MOULDED</t>
  </si>
  <si>
    <t xml:space="preserve">City Plastics </t>
  </si>
  <si>
    <t xml:space="preserve">SDR17 </t>
  </si>
  <si>
    <t>PN10</t>
  </si>
  <si>
    <t>SDR11</t>
  </si>
  <si>
    <t>PN16</t>
  </si>
  <si>
    <t>45° ELBOW - PE100 MOULDED</t>
  </si>
  <si>
    <r>
      <rPr>
        <b/>
        <u/>
        <sz val="13"/>
        <color rgb="FF006FC0"/>
        <rFont val="Calibri"/>
        <family val="2"/>
      </rPr>
      <t xml:space="preserve">90° EQUAL TEE - PE100 
</t>
    </r>
    <r>
      <rPr>
        <b/>
        <u/>
        <sz val="13"/>
        <color rgb="FF006FC0"/>
        <rFont val="Calibri"/>
        <family val="2"/>
      </rPr>
      <t>MOULDED</t>
    </r>
  </si>
  <si>
    <t>EQUAL TEE - PE100 MOULDED</t>
  </si>
  <si>
    <r>
      <rPr>
        <b/>
        <u/>
        <sz val="10"/>
        <color rgb="FF006FC0"/>
        <rFont val="Calibri"/>
        <family val="2"/>
        <scheme val="minor"/>
      </rPr>
      <t>90° ELBOW - PE100 
MOULDED</t>
    </r>
  </si>
  <si>
    <r>
      <rPr>
        <b/>
        <sz val="10"/>
        <color rgb="FF006FC0"/>
        <rFont val="Calibri"/>
        <family val="2"/>
        <scheme val="minor"/>
      </rPr>
      <t>SIZE</t>
    </r>
  </si>
  <si>
    <r>
      <rPr>
        <b/>
        <sz val="10"/>
        <color rgb="FF006FC0"/>
        <rFont val="Calibri"/>
        <family val="2"/>
        <scheme val="minor"/>
      </rPr>
      <t>SDR17</t>
    </r>
  </si>
  <si>
    <r>
      <rPr>
        <b/>
        <sz val="10"/>
        <color rgb="FF006FC0"/>
        <rFont val="Calibri"/>
        <family val="2"/>
        <scheme val="minor"/>
      </rPr>
      <t>SDR11</t>
    </r>
  </si>
  <si>
    <r>
      <rPr>
        <b/>
        <sz val="10"/>
        <color rgb="FF006FC0"/>
        <rFont val="Calibri"/>
        <family val="2"/>
        <scheme val="minor"/>
      </rPr>
      <t>CODE</t>
    </r>
  </si>
  <si>
    <r>
      <rPr>
        <b/>
        <sz val="10"/>
        <color rgb="FF006FC0"/>
        <rFont val="Calibri"/>
        <family val="2"/>
        <scheme val="minor"/>
      </rPr>
      <t>RANDS</t>
    </r>
  </si>
  <si>
    <t>63mm</t>
  </si>
  <si>
    <t>PEX17GOB063</t>
  </si>
  <si>
    <t>PEX11GOB063</t>
  </si>
  <si>
    <t>75mm</t>
  </si>
  <si>
    <t>PEX17GOB075</t>
  </si>
  <si>
    <t>PEX11GOB075</t>
  </si>
  <si>
    <t>90mm</t>
  </si>
  <si>
    <t>PEX17GOB090</t>
  </si>
  <si>
    <t>PEX11GOB090</t>
  </si>
  <si>
    <t>110mm</t>
  </si>
  <si>
    <t>PEX17GOB110</t>
  </si>
  <si>
    <t>PEX11GOB110</t>
  </si>
  <si>
    <t>125mm</t>
  </si>
  <si>
    <t>PEX17GOB125</t>
  </si>
  <si>
    <t>PEX11GOB125</t>
  </si>
  <si>
    <t>140mm</t>
  </si>
  <si>
    <t>PEX17GOB140</t>
  </si>
  <si>
    <t>PEX11GOB140</t>
  </si>
  <si>
    <t>160mm</t>
  </si>
  <si>
    <t>PEX17GOB160</t>
  </si>
  <si>
    <t>PEX11GOB160</t>
  </si>
  <si>
    <t>180mm</t>
  </si>
  <si>
    <t>PEX17GOB180</t>
  </si>
  <si>
    <t>PEX11GOB180</t>
  </si>
  <si>
    <t>200mm</t>
  </si>
  <si>
    <t>PEX17GOB200</t>
  </si>
  <si>
    <t>PEX11GOB200</t>
  </si>
  <si>
    <t>225mm</t>
  </si>
  <si>
    <t>PEX17GOB225</t>
  </si>
  <si>
    <t>PEX11GOB225</t>
  </si>
  <si>
    <t>250mm</t>
  </si>
  <si>
    <t>PEX17GOB250</t>
  </si>
  <si>
    <t>PEX11GOB250</t>
  </si>
  <si>
    <t>280mm</t>
  </si>
  <si>
    <t>PEX17GOB280</t>
  </si>
  <si>
    <t>PEX11GOB280</t>
  </si>
  <si>
    <t>315mm</t>
  </si>
  <si>
    <t>PEX17GOB315</t>
  </si>
  <si>
    <t>PEX11GOB315</t>
  </si>
  <si>
    <t>355mm</t>
  </si>
  <si>
    <t>PEX17GOB355</t>
  </si>
  <si>
    <t>PEX11GOB355</t>
  </si>
  <si>
    <t>400mm</t>
  </si>
  <si>
    <t>PEX17GOB400</t>
  </si>
  <si>
    <t>PEX11GOB400</t>
  </si>
  <si>
    <t>450mm</t>
  </si>
  <si>
    <t>PEX17GOB450</t>
  </si>
  <si>
    <t>PEX11GOB450</t>
  </si>
  <si>
    <t>500mm</t>
  </si>
  <si>
    <t>PEX17GOB500</t>
  </si>
  <si>
    <t>PEX11GOB500</t>
  </si>
  <si>
    <t>560mm</t>
  </si>
  <si>
    <t>PEX17GOB560</t>
  </si>
  <si>
    <t>PEX11GOB560</t>
  </si>
  <si>
    <t>630mm</t>
  </si>
  <si>
    <t>PEX17GOB630</t>
  </si>
  <si>
    <t>PEX11GOB630</t>
  </si>
  <si>
    <r>
      <rPr>
        <b/>
        <u/>
        <sz val="10"/>
        <color rgb="FF006FC0"/>
        <rFont val="Calibri"/>
        <family val="2"/>
        <scheme val="minor"/>
      </rPr>
      <t>45° ELBOW - PE100 
MOULDED</t>
    </r>
  </si>
  <si>
    <t>PEX17GYB063</t>
  </si>
  <si>
    <t>PEX11GYB063</t>
  </si>
  <si>
    <t>PEX17GYB075</t>
  </si>
  <si>
    <t>PEX11GYB075</t>
  </si>
  <si>
    <t>PEX17GYB090</t>
  </si>
  <si>
    <t>PEX11GYB090</t>
  </si>
  <si>
    <t>PEX17GYB110</t>
  </si>
  <si>
    <t>PEX11GYB110</t>
  </si>
  <si>
    <t>PEX17GYB125</t>
  </si>
  <si>
    <t>PEX11GYB125</t>
  </si>
  <si>
    <t>PEX17GYB140</t>
  </si>
  <si>
    <t>PEX11GYB140</t>
  </si>
  <si>
    <t>PEX17GYB160</t>
  </si>
  <si>
    <t>PEX11GYB160</t>
  </si>
  <si>
    <t>PEX17GYB180</t>
  </si>
  <si>
    <t>PEX11GYB180</t>
  </si>
  <si>
    <t>PEX17GYB200</t>
  </si>
  <si>
    <t>PEX11GYB200</t>
  </si>
  <si>
    <t>PEX17GYB225</t>
  </si>
  <si>
    <t>PEX11GYB225</t>
  </si>
  <si>
    <t>PEX17GYB250</t>
  </si>
  <si>
    <t>PEX11GYB250</t>
  </si>
  <si>
    <t>PEX17GYB280</t>
  </si>
  <si>
    <t>PEX11GYB280</t>
  </si>
  <si>
    <t>PEX17GYB315</t>
  </si>
  <si>
    <t>PEX11GYB315</t>
  </si>
  <si>
    <t>PEX17GOY355</t>
  </si>
  <si>
    <t>PEX11GOY355</t>
  </si>
  <si>
    <t>PEX17GOY400</t>
  </si>
  <si>
    <t>PEX11GOY400</t>
  </si>
  <si>
    <t>PEX17GOY450</t>
  </si>
  <si>
    <t>PEX11GOY450</t>
  </si>
  <si>
    <t>PEX17GOY500</t>
  </si>
  <si>
    <t>PEX11GOY500</t>
  </si>
  <si>
    <t>PEX17GOY560</t>
  </si>
  <si>
    <t>PEX11GOY560</t>
  </si>
  <si>
    <t>PEX17GOY630</t>
  </si>
  <si>
    <t>PEX11GOY630</t>
  </si>
  <si>
    <r>
      <rPr>
        <b/>
        <u/>
        <sz val="10"/>
        <color rgb="FF006FC0"/>
        <rFont val="Calibri"/>
        <family val="2"/>
        <scheme val="minor"/>
      </rPr>
      <t>90° EQUAL TEE - PE100 
MOULDED</t>
    </r>
  </si>
  <si>
    <t>PEX17TIB063</t>
  </si>
  <si>
    <t>PEX11TIB063</t>
  </si>
  <si>
    <t>PEX17TIB075</t>
  </si>
  <si>
    <t>PEX11TIB075</t>
  </si>
  <si>
    <t>PEX17TIB090</t>
  </si>
  <si>
    <t>PEX11TIB090</t>
  </si>
  <si>
    <t>PEX17TIB110</t>
  </si>
  <si>
    <t>PEX11TIB110</t>
  </si>
  <si>
    <t>PEX17TIB125</t>
  </si>
  <si>
    <t>PEX11TIB125</t>
  </si>
  <si>
    <t>PEX17TIB140</t>
  </si>
  <si>
    <t>PEX11TIB140</t>
  </si>
  <si>
    <t>PEX17TIB160</t>
  </si>
  <si>
    <t>PEX11TIB160</t>
  </si>
  <si>
    <t>PEX17TIB180</t>
  </si>
  <si>
    <t>PEX11TIB180</t>
  </si>
  <si>
    <t>PEX17TIB200</t>
  </si>
  <si>
    <t>PEX11TIB200</t>
  </si>
  <si>
    <t>PEX17TIB225</t>
  </si>
  <si>
    <t>PEX11TIB225</t>
  </si>
  <si>
    <t>PEX17TIB250</t>
  </si>
  <si>
    <t>PEX11TIB250</t>
  </si>
  <si>
    <t>PEX17TIB280</t>
  </si>
  <si>
    <t>PEX11TIB280</t>
  </si>
  <si>
    <t>PEX17TIB315</t>
  </si>
  <si>
    <t>PEX11TIB315</t>
  </si>
  <si>
    <t>PEX17TIB355</t>
  </si>
  <si>
    <t>PEX11TIB355</t>
  </si>
  <si>
    <t>PEX17TIB400</t>
  </si>
  <si>
    <t>PEX11TIB400</t>
  </si>
  <si>
    <t>PEX17TIB450</t>
  </si>
  <si>
    <t>PEX11TIB450</t>
  </si>
  <si>
    <t>PEX17TIB500</t>
  </si>
  <si>
    <t>PEX11TIB500</t>
  </si>
  <si>
    <t>PEX17TIB560</t>
  </si>
  <si>
    <t>PEX11TIB560</t>
  </si>
  <si>
    <t>PEX17TIB630</t>
  </si>
  <si>
    <t>PEX11TIB630</t>
  </si>
  <si>
    <r>
      <rPr>
        <b/>
        <u/>
        <sz val="10"/>
        <color rgb="FF006FC0"/>
        <rFont val="Calibri"/>
        <family val="2"/>
        <scheme val="minor"/>
      </rPr>
      <t>END CAPS - PE100 MOULDED</t>
    </r>
  </si>
  <si>
    <t>PEX17CAB063</t>
  </si>
  <si>
    <t>PEX11CAB063</t>
  </si>
  <si>
    <t>PEX17CAB090</t>
  </si>
  <si>
    <t>PEX11CAB090</t>
  </si>
  <si>
    <t>PEX17CAB110</t>
  </si>
  <si>
    <t>PEX11CAB110</t>
  </si>
  <si>
    <t>PEX17CAB125</t>
  </si>
  <si>
    <t>PEX11CAB125</t>
  </si>
  <si>
    <t>PEX17CAB160</t>
  </si>
  <si>
    <t>PEX11CAB160</t>
  </si>
  <si>
    <t>PEX17CAB180</t>
  </si>
  <si>
    <t>PEX11CAB180</t>
  </si>
  <si>
    <t>PEX17CAB200</t>
  </si>
  <si>
    <t>PEX11CAB200</t>
  </si>
  <si>
    <t>PEX17CAB225</t>
  </si>
  <si>
    <t>PEX11CAB225</t>
  </si>
  <si>
    <t>PEX17CAB250</t>
  </si>
  <si>
    <t>PEX11CAB250</t>
  </si>
  <si>
    <t>PEX17CAB280</t>
  </si>
  <si>
    <t>PEX11CAB280</t>
  </si>
  <si>
    <t>PEX17CAB315</t>
  </si>
  <si>
    <t>PEX11CAB315</t>
  </si>
  <si>
    <t>PEX17CAB355</t>
  </si>
  <si>
    <t>PEX11CAB355</t>
  </si>
  <si>
    <t>PEX17CAB400</t>
  </si>
  <si>
    <t>PEX11CAB400</t>
  </si>
  <si>
    <r>
      <rPr>
        <b/>
        <u/>
        <sz val="10"/>
        <color rgb="FF006FC0"/>
        <rFont val="Calibri"/>
        <family val="2"/>
        <scheme val="minor"/>
      </rPr>
      <t>90° REDUCED TEE - PE100 
MOULDED</t>
    </r>
  </si>
  <si>
    <r>
      <rPr>
        <b/>
        <u/>
        <sz val="10"/>
        <color rgb="FF006FC0"/>
        <rFont val="Calibri"/>
        <family val="2"/>
        <scheme val="minor"/>
      </rPr>
      <t>CONCENTRIC REDUCER - 
PE100 MOULDED</t>
    </r>
  </si>
  <si>
    <t>cost</t>
  </si>
  <si>
    <t>COST</t>
  </si>
  <si>
    <t>90 x 50mm</t>
  </si>
  <si>
    <t>PEX17TRB090050</t>
  </si>
  <si>
    <t>PEX11TRB090050</t>
  </si>
  <si>
    <t>90 x 40mm</t>
  </si>
  <si>
    <t>PEX17RCB090040</t>
  </si>
  <si>
    <t>PEX11RCB090040</t>
  </si>
  <si>
    <t>90 x 63mm</t>
  </si>
  <si>
    <t>PEX17TRB090063</t>
  </si>
  <si>
    <t>PEX11TRB090063</t>
  </si>
  <si>
    <t>PEX17RCB090050</t>
  </si>
  <si>
    <t>PEX11RCB090050</t>
  </si>
  <si>
    <t>90 x 75mm</t>
  </si>
  <si>
    <t>PEX17TRB090075</t>
  </si>
  <si>
    <t>PEX11TRB090075</t>
  </si>
  <si>
    <t>PEX17RCB090063</t>
  </si>
  <si>
    <t>PEX11RCB090063</t>
  </si>
  <si>
    <t>110 x 50mm</t>
  </si>
  <si>
    <t>PEX17TRB110050</t>
  </si>
  <si>
    <t>PEX11TRB110050</t>
  </si>
  <si>
    <t>PEX17RCB090075</t>
  </si>
  <si>
    <t>PEX11RCB090075</t>
  </si>
  <si>
    <t>110 x 63mm</t>
  </si>
  <si>
    <t>PEX17TRB110063</t>
  </si>
  <si>
    <t>PEX11TRB110063</t>
  </si>
  <si>
    <t>110 x 40mm</t>
  </si>
  <si>
    <t>PEX17RCB110040</t>
  </si>
  <si>
    <t>PEX11RCB110040</t>
  </si>
  <si>
    <t>110 x 75mm</t>
  </si>
  <si>
    <t>PEX17TRB110075</t>
  </si>
  <si>
    <t>PEX11TRB110075</t>
  </si>
  <si>
    <t>PEX17RCB110050</t>
  </si>
  <si>
    <t>PEX11RCB110050</t>
  </si>
  <si>
    <t>110 x 90mm</t>
  </si>
  <si>
    <t>PEX17TRB110090</t>
  </si>
  <si>
    <t>PEX11TRB110090</t>
  </si>
  <si>
    <t>PEX17RCB110063</t>
  </si>
  <si>
    <t>PEX11RCB110063</t>
  </si>
  <si>
    <t>125 x 63mm</t>
  </si>
  <si>
    <t>PEX17TRB125063</t>
  </si>
  <si>
    <t>PEX11TRB125063</t>
  </si>
  <si>
    <t>PEX17RCB110075</t>
  </si>
  <si>
    <t>PEX11RCB110075</t>
  </si>
  <si>
    <t>125 x 75mm</t>
  </si>
  <si>
    <t>PEX17TRB125075</t>
  </si>
  <si>
    <t>PEX11TRB125075</t>
  </si>
  <si>
    <t>PEX17RCB110090</t>
  </si>
  <si>
    <t>PEX11RCB110090</t>
  </si>
  <si>
    <t>125 x 90mm</t>
  </si>
  <si>
    <t>PEX17TRB125090</t>
  </si>
  <si>
    <t>PEX11TRB125090</t>
  </si>
  <si>
    <t>PEX17RCB125063</t>
  </si>
  <si>
    <t>PEX11RCB125063</t>
  </si>
  <si>
    <t>125 x 110mm</t>
  </si>
  <si>
    <t>PEX17TRB125110</t>
  </si>
  <si>
    <t>PEX11TRB125110</t>
  </si>
  <si>
    <t>PEX17RCB125075</t>
  </si>
  <si>
    <t>PEX11RCB125075</t>
  </si>
  <si>
    <t>140 x 90mm</t>
  </si>
  <si>
    <t>PEX17TRB140090</t>
  </si>
  <si>
    <t>PEX11TRB140090</t>
  </si>
  <si>
    <t>PEX17RCB125090</t>
  </si>
  <si>
    <t>PEX11RCB125090</t>
  </si>
  <si>
    <t>140 x 110mm</t>
  </si>
  <si>
    <t>PEX17TRB140110</t>
  </si>
  <si>
    <t>PEX11TRB140110</t>
  </si>
  <si>
    <t>PEX17RCB125110</t>
  </si>
  <si>
    <t>PEX11RCB125110</t>
  </si>
  <si>
    <t>140 x 125mm</t>
  </si>
  <si>
    <t>PEX17TRB140125</t>
  </si>
  <si>
    <t>PEX11TRB140125</t>
  </si>
  <si>
    <t>140 x 63mm</t>
  </si>
  <si>
    <t>PEX17RCB140063</t>
  </si>
  <si>
    <t>PEX11RCB140063</t>
  </si>
  <si>
    <t>160 x 63mm</t>
  </si>
  <si>
    <t>PEX17TRB160063</t>
  </si>
  <si>
    <t>PEX11TRB160063</t>
  </si>
  <si>
    <t>PEX17RCB140090</t>
  </si>
  <si>
    <t>PEX11RCB140090</t>
  </si>
  <si>
    <t>160 x 75mm</t>
  </si>
  <si>
    <t>PEX17TRB160075</t>
  </si>
  <si>
    <t>PEX11TRB160075</t>
  </si>
  <si>
    <t>PEX17RCB140110</t>
  </si>
  <si>
    <t>PEX11RCB140110</t>
  </si>
  <si>
    <t>160 x 90mm</t>
  </si>
  <si>
    <t>PEX17TRB160090</t>
  </si>
  <si>
    <t>PEX11TRB160090</t>
  </si>
  <si>
    <t>PEX17RCB160063</t>
  </si>
  <si>
    <t>PEX11RCB160063</t>
  </si>
  <si>
    <t>160 x 110mm</t>
  </si>
  <si>
    <t>PEX17TRB160110</t>
  </si>
  <si>
    <t>PEX11TRB160110</t>
  </si>
  <si>
    <t>PEX17RCB160075</t>
  </si>
  <si>
    <t>PEX11RCB160075</t>
  </si>
  <si>
    <t>160 x 125mm</t>
  </si>
  <si>
    <t>PEX17TRB160125</t>
  </si>
  <si>
    <t>PEX11TRB160125</t>
  </si>
  <si>
    <t>PEX17RCB160090</t>
  </si>
  <si>
    <t>PEX11RCB160090</t>
  </si>
  <si>
    <t>160 x 140mm</t>
  </si>
  <si>
    <t>PEX17TRB160140</t>
  </si>
  <si>
    <t>PEX11TRB160140</t>
  </si>
  <si>
    <t>PEX17RCB160110</t>
  </si>
  <si>
    <t>PEX11RCB160110</t>
  </si>
  <si>
    <t>180 x 90mm</t>
  </si>
  <si>
    <t>PEX17TRB180090</t>
  </si>
  <si>
    <t>PEX11TRB180090</t>
  </si>
  <si>
    <t>PEX17RCB160125</t>
  </si>
  <si>
    <t>PEX11RCB160125</t>
  </si>
  <si>
    <t>180 x 110mm</t>
  </si>
  <si>
    <t>PEX17TRB180110</t>
  </si>
  <si>
    <t>PEX11TRB180110</t>
  </si>
  <si>
    <t>PEX17RCB180090</t>
  </si>
  <si>
    <t>PEX11RCB180090</t>
  </si>
  <si>
    <t>180 x 125mm</t>
  </si>
  <si>
    <t>PEX17TRB180125</t>
  </si>
  <si>
    <t>PEX11TRB180125</t>
  </si>
  <si>
    <t>PEX17RCB180110</t>
  </si>
  <si>
    <t>PEX11RCB180110</t>
  </si>
  <si>
    <t>180 x 140mm</t>
  </si>
  <si>
    <t>PEX17TRB180140</t>
  </si>
  <si>
    <t>PEX11TRB180140</t>
  </si>
  <si>
    <t>PEX17RCB180125</t>
  </si>
  <si>
    <t>PEX11RCB180125</t>
  </si>
  <si>
    <t>180 x 160mm</t>
  </si>
  <si>
    <t>PEX17TRB180160</t>
  </si>
  <si>
    <t>PEX11TRB180160</t>
  </si>
  <si>
    <t>PEX17RCB180160</t>
  </si>
  <si>
    <t>PEX11RCB180160</t>
  </si>
  <si>
    <t>200 x 63mm</t>
  </si>
  <si>
    <t>PEX17TRB200063</t>
  </si>
  <si>
    <t>PEX11TRB200063</t>
  </si>
  <si>
    <t>PEX17RCB200063</t>
  </si>
  <si>
    <t>PEX11RCB200063</t>
  </si>
  <si>
    <t>200 x 75mm</t>
  </si>
  <si>
    <t>PEX17TRB200075</t>
  </si>
  <si>
    <t>PEX11TRB200075</t>
  </si>
  <si>
    <t>200 x 90mm</t>
  </si>
  <si>
    <t>PEX17RCB200090</t>
  </si>
  <si>
    <t>PEX11RCB200090</t>
  </si>
  <si>
    <t>PEX17TRB200090</t>
  </si>
  <si>
    <t>PEX11TRB200090</t>
  </si>
  <si>
    <t>200 x 110mm</t>
  </si>
  <si>
    <t>PEX17RCB200110</t>
  </si>
  <si>
    <t>PEX11RCB200110</t>
  </si>
  <si>
    <t>PEX17TRB200110</t>
  </si>
  <si>
    <t>PEX11TRB200110</t>
  </si>
  <si>
    <t>200 x 125mm</t>
  </si>
  <si>
    <t>PEX17RCB200125</t>
  </si>
  <si>
    <t>PEX11RCB200125</t>
  </si>
  <si>
    <t>PEX17TRB200125</t>
  </si>
  <si>
    <t>PEX11TRB200125</t>
  </si>
  <si>
    <t>200 x 160mm</t>
  </si>
  <si>
    <t>PEX17RCB200160</t>
  </si>
  <si>
    <t>PEX11RCB200160</t>
  </si>
  <si>
    <t>PEX17TRB200160</t>
  </si>
  <si>
    <t>PEX11TRB200160</t>
  </si>
  <si>
    <t>200 x 180mm</t>
  </si>
  <si>
    <t>PEX17RCB200180</t>
  </si>
  <si>
    <t>PEX11RCB200180</t>
  </si>
  <si>
    <t>225 x 90mm</t>
  </si>
  <si>
    <t>PEX17TRB225090</t>
  </si>
  <si>
    <t>PEX11TRB225090</t>
  </si>
  <si>
    <t>PEX17RCB225090</t>
  </si>
  <si>
    <t>PEX11RCB225090</t>
  </si>
  <si>
    <t>225 x 110mm</t>
  </si>
  <si>
    <t>PEX17TRB225110</t>
  </si>
  <si>
    <t>PEX11TRB225110</t>
  </si>
  <si>
    <t>PEX17RCB225110</t>
  </si>
  <si>
    <t>PEX11RCB225110</t>
  </si>
  <si>
    <t>225 x 160mm</t>
  </si>
  <si>
    <t>PEX17TRB225160</t>
  </si>
  <si>
    <t>PEX11TRB225160</t>
  </si>
  <si>
    <t>PEX17RCB225160</t>
  </si>
  <si>
    <t>PEX11RCB225160</t>
  </si>
  <si>
    <t>225 x 180mm</t>
  </si>
  <si>
    <t>PEX17TRB225180</t>
  </si>
  <si>
    <t>PEX11TRB225180</t>
  </si>
  <si>
    <t>PEX17RCB225180</t>
  </si>
  <si>
    <t>PEX11RCB225180</t>
  </si>
  <si>
    <t>250 x 90mm</t>
  </si>
  <si>
    <t>PEX17TRB250090</t>
  </si>
  <si>
    <t>PEX11TRB250090</t>
  </si>
  <si>
    <t>225 x 200mm</t>
  </si>
  <si>
    <t>PEX17RCB225200</t>
  </si>
  <si>
    <t>PEX11RCB225200</t>
  </si>
  <si>
    <t>250 x 110mm</t>
  </si>
  <si>
    <t>PEX17TRB250110</t>
  </si>
  <si>
    <t>PEX11TRB250110</t>
  </si>
  <si>
    <t>PEX17RCB250090</t>
  </si>
  <si>
    <t>PEX11RCB250090</t>
  </si>
  <si>
    <t>250 x 125mm</t>
  </si>
  <si>
    <t>PEX17TRB250125</t>
  </si>
  <si>
    <t>PEX11TRB250125</t>
  </si>
  <si>
    <t>PEX17RCB250110</t>
  </si>
  <si>
    <t>PEX11RCB250110</t>
  </si>
  <si>
    <t>250 x 160mm</t>
  </si>
  <si>
    <t>PEX17TRB250160</t>
  </si>
  <si>
    <t>PEX11TRB250160</t>
  </si>
  <si>
    <t>PEX17RCB250125</t>
  </si>
  <si>
    <t>PEX11RCB250125</t>
  </si>
  <si>
    <t>250 x 180mm</t>
  </si>
  <si>
    <t>PEX17TRB250180</t>
  </si>
  <si>
    <t>PEX11TRB250180</t>
  </si>
  <si>
    <t>PEX17RCB250160</t>
  </si>
  <si>
    <t>PEX11RCB250160</t>
  </si>
  <si>
    <t>250 x 200mm</t>
  </si>
  <si>
    <t>PEX17TRB250200</t>
  </si>
  <si>
    <t>PEX11TRB250200</t>
  </si>
  <si>
    <t>PEX17RCB250180</t>
  </si>
  <si>
    <t>PEX11RCB250180</t>
  </si>
  <si>
    <t>280 x 125mm</t>
  </si>
  <si>
    <t>PEX17TRB280125</t>
  </si>
  <si>
    <t>PEX11TRB280125</t>
  </si>
  <si>
    <t>PEX17RCB250200</t>
  </si>
  <si>
    <t>PEX11RCB250200</t>
  </si>
  <si>
    <t>280 x 160mm</t>
  </si>
  <si>
    <t>PEX17TRB280160</t>
  </si>
  <si>
    <t>PEX11TRB280160</t>
  </si>
  <si>
    <t>250 x 225mm</t>
  </si>
  <si>
    <t>PEX17RCB250225</t>
  </si>
  <si>
    <t>PEX11RCB250225</t>
  </si>
  <si>
    <t>280 x 225mm</t>
  </si>
  <si>
    <t>PEX17TRB280225</t>
  </si>
  <si>
    <t>PEX11TRB280225</t>
  </si>
  <si>
    <t>PEX17RCB280160</t>
  </si>
  <si>
    <t>PEX11RCB280160</t>
  </si>
  <si>
    <t>280 x 250mm</t>
  </si>
  <si>
    <t>PEX17TRB280250</t>
  </si>
  <si>
    <t>PEX11TRB280250</t>
  </si>
  <si>
    <t>280 x 180mm</t>
  </si>
  <si>
    <t>PEX17RCB280180</t>
  </si>
  <si>
    <t>PEX11RCB281800</t>
  </si>
  <si>
    <t>315 x 110mm</t>
  </si>
  <si>
    <t>PEX17TRB315110</t>
  </si>
  <si>
    <t>PEX11TRB315110</t>
  </si>
  <si>
    <t>280 x 200mm</t>
  </si>
  <si>
    <t>PEX17RCB280200</t>
  </si>
  <si>
    <t>PEX11RCB280200</t>
  </si>
  <si>
    <t>315 x 160mm</t>
  </si>
  <si>
    <t>PEX17TRB315160</t>
  </si>
  <si>
    <t>PEX11TRB315160</t>
  </si>
  <si>
    <t>PEX17RCB280225</t>
  </si>
  <si>
    <t>PEX11RCB280225</t>
  </si>
  <si>
    <r>
      <rPr>
        <b/>
        <u/>
        <sz val="10"/>
        <color rgb="FF006FC0"/>
        <rFont val="Calibri"/>
        <family val="2"/>
        <scheme val="minor"/>
      </rPr>
      <t>90° REDUCED TEE - PE100 
MOULDED - CONT'D</t>
    </r>
  </si>
  <si>
    <r>
      <rPr>
        <b/>
        <u/>
        <sz val="10"/>
        <color rgb="FF006FC0"/>
        <rFont val="Calibri"/>
        <family val="2"/>
        <scheme val="minor"/>
      </rPr>
      <t>CONCENTRIC REDUCER - 
PE100 MOULDED - CONT</t>
    </r>
  </si>
  <si>
    <t>315 x 180mm</t>
  </si>
  <si>
    <t>PEX17TRB315180</t>
  </si>
  <si>
    <t>PEX11TRB315180</t>
  </si>
  <si>
    <t>PEX17RCB280250</t>
  </si>
  <si>
    <t>PEX11RCB280250</t>
  </si>
  <si>
    <t>315 x 200mm</t>
  </si>
  <si>
    <t>PEX17TRB315200</t>
  </si>
  <si>
    <t>PEX11TRB315200</t>
  </si>
  <si>
    <t>315 x 90mm</t>
  </si>
  <si>
    <t>PEX17RCB315090</t>
  </si>
  <si>
    <t>PEX11RCB315090</t>
  </si>
  <si>
    <t>315 x 225mm</t>
  </si>
  <si>
    <t>PEX17TRB315225</t>
  </si>
  <si>
    <t>PEX11TRB315225</t>
  </si>
  <si>
    <t>PEX17RCB315110</t>
  </si>
  <si>
    <t>PEX11RCB315110</t>
  </si>
  <si>
    <t>315 x 250mm</t>
  </si>
  <si>
    <t>PEX17TRB315250</t>
  </si>
  <si>
    <t>PEX11TRB315250</t>
  </si>
  <si>
    <t>PEX17RCB315160</t>
  </si>
  <si>
    <t>PEX11RCB315160</t>
  </si>
  <si>
    <t>315 x 280mm</t>
  </si>
  <si>
    <t>PEX17TRB315280</t>
  </si>
  <si>
    <t>PEX11TRB315280</t>
  </si>
  <si>
    <t>PEX17RCB315180</t>
  </si>
  <si>
    <t>PEX11RCB315180</t>
  </si>
  <si>
    <t>355 x 250mm</t>
  </si>
  <si>
    <t>PEX17TRB355250</t>
  </si>
  <si>
    <t>PEX11TRB355250</t>
  </si>
  <si>
    <t>PEX17RCB315200</t>
  </si>
  <si>
    <t>PEX11RCB315200</t>
  </si>
  <si>
    <t>355 x 315mm</t>
  </si>
  <si>
    <t>PEX17TRB355315</t>
  </si>
  <si>
    <t>PEX11TRB355315</t>
  </si>
  <si>
    <t>PEX17RCB315225</t>
  </si>
  <si>
    <t>PEX11RCB315225</t>
  </si>
  <si>
    <t>400 x 160mm</t>
  </si>
  <si>
    <t>PEX17TRB400160</t>
  </si>
  <si>
    <t>PEX11TRB400160</t>
  </si>
  <si>
    <t>PEX17RCB315250</t>
  </si>
  <si>
    <t>PEX11RCB315250</t>
  </si>
  <si>
    <t>400 x 250mm</t>
  </si>
  <si>
    <t>PEX17TRB400250</t>
  </si>
  <si>
    <t>PEX11TRB400250</t>
  </si>
  <si>
    <t>PEX17RCB315280</t>
  </si>
  <si>
    <t>PEX11RCB315280</t>
  </si>
  <si>
    <t>400 x 315mm</t>
  </si>
  <si>
    <t>PEX17TRB400315</t>
  </si>
  <si>
    <t>PEX11TRB400315</t>
  </si>
  <si>
    <t>355 x 200mm</t>
  </si>
  <si>
    <t>PEX17RCB355200</t>
  </si>
  <si>
    <t>PEX11RCB355200</t>
  </si>
  <si>
    <t>400 x 355mm</t>
  </si>
  <si>
    <t>PEX17TRB400355</t>
  </si>
  <si>
    <t>PEX11TRB400355</t>
  </si>
  <si>
    <t>PEX17RCB355250</t>
  </si>
  <si>
    <t>PEX11RCB355250</t>
  </si>
  <si>
    <t>450 x 315mm</t>
  </si>
  <si>
    <t>PEX17TRB450315</t>
  </si>
  <si>
    <t>PEX11TRB450315</t>
  </si>
  <si>
    <t>355 x 280mm</t>
  </si>
  <si>
    <t>PEX17RCB355280</t>
  </si>
  <si>
    <t>PEX11RCB355280</t>
  </si>
  <si>
    <t>450 x 400mm</t>
  </si>
  <si>
    <t>PEX17TRB450400</t>
  </si>
  <si>
    <t>PEX11TRB450400</t>
  </si>
  <si>
    <t>PEX17RCB355315</t>
  </si>
  <si>
    <t>PEX11RCB355315</t>
  </si>
  <si>
    <t>500 x 160mm</t>
  </si>
  <si>
    <t>PEX17TRB500160</t>
  </si>
  <si>
    <t>PEX11TRB500160</t>
  </si>
  <si>
    <t>400 x 200mm</t>
  </si>
  <si>
    <t>PEX17RCB400200</t>
  </si>
  <si>
    <t>PEX11RCB400200</t>
  </si>
  <si>
    <t>500 x 250mm</t>
  </si>
  <si>
    <t>PEX17TRB500250</t>
  </si>
  <si>
    <t>PEX11TRB500250</t>
  </si>
  <si>
    <t>PEX17RCB400250</t>
  </si>
  <si>
    <t>PEX11RCB400250</t>
  </si>
  <si>
    <t>500 x 315mm</t>
  </si>
  <si>
    <t>PEX17TRB500315</t>
  </si>
  <si>
    <t>PEX11TRB500315</t>
  </si>
  <si>
    <t>PEX17RCB400315</t>
  </si>
  <si>
    <t>PEX11RCB400315</t>
  </si>
  <si>
    <t>500 x 400mm</t>
  </si>
  <si>
    <t>PEX17TRB500400</t>
  </si>
  <si>
    <t>PEX11TRB500400</t>
  </si>
  <si>
    <t>PEX17RCB400355</t>
  </si>
  <si>
    <t>PEX11RCB400355</t>
  </si>
  <si>
    <t>560 x 250mm</t>
  </si>
  <si>
    <t>PEX17TRB560250</t>
  </si>
  <si>
    <t>PEX11TRB560250</t>
  </si>
  <si>
    <t>450 x 200mm</t>
  </si>
  <si>
    <t>PEX17RCB450200</t>
  </si>
  <si>
    <t>560 x 355mm</t>
  </si>
  <si>
    <t>PEX17TRB560355</t>
  </si>
  <si>
    <t>PEX11TRB560355</t>
  </si>
  <si>
    <t>450 x 250mm</t>
  </si>
  <si>
    <t>PEX17RCB450250</t>
  </si>
  <si>
    <t>560 x 400mm</t>
  </si>
  <si>
    <t>PEX17TRB560400</t>
  </si>
  <si>
    <t>PEX11TRB560400</t>
  </si>
  <si>
    <t>PEX17RCB450315</t>
  </si>
  <si>
    <t>630 x 400mm</t>
  </si>
  <si>
    <t>PEX17TRB630400</t>
  </si>
  <si>
    <t>PEX11TRB630400</t>
  </si>
  <si>
    <t>450 x 355mm</t>
  </si>
  <si>
    <t>PEX17RCB450355</t>
  </si>
  <si>
    <t>630 x 500mm</t>
  </si>
  <si>
    <t>PEX17TRB630500</t>
  </si>
  <si>
    <t>PEX11TRB630500</t>
  </si>
  <si>
    <t>PEX17RCB450400</t>
  </si>
  <si>
    <t>PEX17RCB500400</t>
  </si>
  <si>
    <r>
      <rPr>
        <b/>
        <u/>
        <sz val="10"/>
        <color rgb="FF006FC0"/>
        <rFont val="Calibri"/>
        <family val="2"/>
        <scheme val="minor"/>
      </rPr>
      <t>STUB FLANGE - PE100 
MOULDED</t>
    </r>
  </si>
  <si>
    <t>500 x 450mm</t>
  </si>
  <si>
    <t>PEX17RCB500450</t>
  </si>
  <si>
    <t>560 x 500mm</t>
  </si>
  <si>
    <t>PEX17RCB560500</t>
  </si>
  <si>
    <t>PEX17RCB630500</t>
  </si>
  <si>
    <t>710 x 630mm</t>
  </si>
  <si>
    <t>PEX17RCB710630</t>
  </si>
  <si>
    <t>800 x 710mm</t>
  </si>
  <si>
    <t>PEX17RCB800710</t>
  </si>
  <si>
    <t>PEX17QRB063</t>
  </si>
  <si>
    <t>PEX11QRB063</t>
  </si>
  <si>
    <t>PEX17QRB075</t>
  </si>
  <si>
    <t>PEX11QRB075</t>
  </si>
  <si>
    <t>PEX17QRB090</t>
  </si>
  <si>
    <t>PEX11QRB090</t>
  </si>
  <si>
    <t>PEX17QRB110</t>
  </si>
  <si>
    <t>PEX11QRB110</t>
  </si>
  <si>
    <t>PEX17QRB125</t>
  </si>
  <si>
    <t>PEX11QRB125</t>
  </si>
  <si>
    <t>PEX17QRB140</t>
  </si>
  <si>
    <t>PEX11QRB140</t>
  </si>
  <si>
    <t>PEX17QRB160</t>
  </si>
  <si>
    <t>PEX11QRB160</t>
  </si>
  <si>
    <t>PEX17QRB180</t>
  </si>
  <si>
    <t>PEX11QRB180</t>
  </si>
  <si>
    <t>PEX17QRB200</t>
  </si>
  <si>
    <t>PEX11QRB200</t>
  </si>
  <si>
    <t>PEX17QRB225</t>
  </si>
  <si>
    <t>PEX11QRB225</t>
  </si>
  <si>
    <t>PEX17QRB250</t>
  </si>
  <si>
    <t>PEX11QRB250</t>
  </si>
  <si>
    <t>PEX17QRB280</t>
  </si>
  <si>
    <t>PEX11QRB280</t>
  </si>
  <si>
    <t>PEX17QRB315</t>
  </si>
  <si>
    <t>PEX11QRB315</t>
  </si>
  <si>
    <t>PEX17QRB355</t>
  </si>
  <si>
    <t>PEX11QRB355</t>
  </si>
  <si>
    <t>PEX17QRB400</t>
  </si>
  <si>
    <t>PEX11QRB400</t>
  </si>
  <si>
    <t>PEX17QRB450</t>
  </si>
  <si>
    <t>PEX11QRB450</t>
  </si>
  <si>
    <t>PEX17QRB500</t>
  </si>
  <si>
    <t>PEX11QRB500</t>
  </si>
  <si>
    <t>PEX17QRB560</t>
  </si>
  <si>
    <t>PEX11QRB560</t>
  </si>
  <si>
    <t>PEX17QRB630</t>
  </si>
  <si>
    <t>PEX11QRB630</t>
  </si>
  <si>
    <t>710mm</t>
  </si>
  <si>
    <t>PEX17QRB710</t>
  </si>
  <si>
    <t>800mm</t>
  </si>
  <si>
    <t>PEX17QRB800</t>
  </si>
  <si>
    <t>900mm</t>
  </si>
  <si>
    <t>PEX17QRB900</t>
  </si>
  <si>
    <t>1000mm</t>
  </si>
  <si>
    <t>PEX17QRB1000</t>
  </si>
  <si>
    <t>1200mm</t>
  </si>
  <si>
    <t>PEX17QRB1200</t>
  </si>
  <si>
    <r>
      <rPr>
        <u/>
        <sz val="8"/>
        <rFont val="Calibri"/>
        <family val="2"/>
        <scheme val="minor"/>
      </rPr>
      <t>BOLT LENGTHS
HDPE Bolt Sizes for T1000/3 Flanges</t>
    </r>
    <r>
      <rPr>
        <sz val="8"/>
        <rFont val="Calibri"/>
        <family val="2"/>
        <scheme val="minor"/>
      </rPr>
      <t xml:space="preserve">                 </t>
    </r>
    <r>
      <rPr>
        <u/>
        <sz val="8"/>
        <rFont val="Calibri"/>
        <family val="2"/>
        <scheme val="minor"/>
      </rPr>
      <t>HDPE Bolt Sizes for T1600/3 Flanges</t>
    </r>
    <r>
      <rPr>
        <sz val="8"/>
        <rFont val="Calibri"/>
        <family val="2"/>
        <scheme val="minor"/>
      </rPr>
      <t xml:space="preserve">                      </t>
    </r>
    <r>
      <rPr>
        <u/>
        <sz val="8"/>
        <rFont val="Calibri"/>
        <family val="2"/>
        <scheme val="minor"/>
      </rPr>
      <t xml:space="preserve">HDPE Bolt Sizes for TD Flanges
</t>
    </r>
    <r>
      <rPr>
        <sz val="8"/>
        <color rgb="FFFF0000"/>
        <rFont val="Calibri"/>
        <family val="2"/>
        <scheme val="minor"/>
      </rPr>
      <t>HDPE to HDPE (no gasket)                                                HDPE to HDPE (no gasket)                                                HDPE to HDPE (no gasket)</t>
    </r>
  </si>
  <si>
    <r>
      <rPr>
        <b/>
        <sz val="7"/>
        <rFont val="Calibri"/>
        <family val="2"/>
        <scheme val="minor"/>
      </rPr>
      <t>OD</t>
    </r>
    <r>
      <rPr>
        <sz val="7"/>
        <rFont val="Calibri"/>
        <family val="2"/>
        <scheme val="minor"/>
      </rPr>
      <t xml:space="preserve"> </t>
    </r>
    <r>
      <rPr>
        <b/>
        <sz val="7"/>
        <rFont val="Calibri"/>
        <family val="2"/>
        <scheme val="minor"/>
      </rPr>
      <t>Pipe</t>
    </r>
  </si>
  <si>
    <r>
      <rPr>
        <b/>
        <sz val="7"/>
        <rFont val="Calibri"/>
        <family val="2"/>
        <scheme val="minor"/>
      </rPr>
      <t>Bolt</t>
    </r>
    <r>
      <rPr>
        <sz val="7"/>
        <rFont val="Calibri"/>
        <family val="2"/>
        <scheme val="minor"/>
      </rPr>
      <t xml:space="preserve"> </t>
    </r>
    <r>
      <rPr>
        <b/>
        <sz val="7"/>
        <rFont val="Calibri"/>
        <family val="2"/>
        <scheme val="minor"/>
      </rPr>
      <t>Size</t>
    </r>
  </si>
  <si>
    <t>Quantity</t>
  </si>
  <si>
    <r>
      <rPr>
        <sz val="7"/>
        <rFont val="Calibri"/>
        <family val="2"/>
        <scheme val="minor"/>
      </rPr>
      <t>50
63</t>
    </r>
  </si>
  <si>
    <r>
      <rPr>
        <sz val="7"/>
        <rFont val="Calibri"/>
        <family val="2"/>
        <scheme val="minor"/>
      </rPr>
      <t>M16 X 90
M16 x 90</t>
    </r>
  </si>
  <si>
    <r>
      <rPr>
        <sz val="7"/>
        <rFont val="Calibri"/>
        <family val="2"/>
        <scheme val="minor"/>
      </rPr>
      <t>4
4</t>
    </r>
  </si>
  <si>
    <r>
      <rPr>
        <sz val="7"/>
        <rFont val="Calibri"/>
        <family val="2"/>
        <scheme val="minor"/>
      </rPr>
      <t>M16 x 90</t>
    </r>
  </si>
  <si>
    <r>
      <rPr>
        <sz val="7"/>
        <rFont val="Calibri"/>
        <family val="2"/>
        <scheme val="minor"/>
      </rPr>
      <t>M16 x 100</t>
    </r>
  </si>
  <si>
    <r>
      <rPr>
        <sz val="7"/>
        <rFont val="Calibri"/>
        <family val="2"/>
        <scheme val="minor"/>
      </rPr>
      <t>M16 x 110</t>
    </r>
  </si>
  <si>
    <r>
      <rPr>
        <sz val="7"/>
        <rFont val="Calibri"/>
        <family val="2"/>
        <scheme val="minor"/>
      </rPr>
      <t>M20 x 130</t>
    </r>
  </si>
  <si>
    <r>
      <rPr>
        <sz val="7"/>
        <rFont val="Calibri"/>
        <family val="2"/>
        <scheme val="minor"/>
      </rPr>
      <t>M20 x 140</t>
    </r>
  </si>
  <si>
    <r>
      <rPr>
        <sz val="7"/>
        <rFont val="Calibri"/>
        <family val="2"/>
        <scheme val="minor"/>
      </rPr>
      <t>M16 x 130</t>
    </r>
  </si>
  <si>
    <r>
      <rPr>
        <sz val="7"/>
        <rFont val="Calibri"/>
        <family val="2"/>
        <scheme val="minor"/>
      </rPr>
      <t>M20 x 150</t>
    </r>
  </si>
  <si>
    <r>
      <rPr>
        <sz val="7"/>
        <rFont val="Calibri"/>
        <family val="2"/>
        <scheme val="minor"/>
      </rPr>
      <t>M20 x 160</t>
    </r>
  </si>
  <si>
    <r>
      <rPr>
        <sz val="7"/>
        <rFont val="Calibri"/>
        <family val="2"/>
        <scheme val="minor"/>
      </rPr>
      <t>M20 x 180</t>
    </r>
  </si>
  <si>
    <r>
      <rPr>
        <sz val="7"/>
        <rFont val="Calibri"/>
        <family val="2"/>
        <scheme val="minor"/>
      </rPr>
      <t>M16 x 150</t>
    </r>
  </si>
  <si>
    <r>
      <rPr>
        <sz val="7"/>
        <rFont val="Calibri"/>
        <family val="2"/>
        <scheme val="minor"/>
      </rPr>
      <t>M24 x 180</t>
    </r>
  </si>
  <si>
    <r>
      <rPr>
        <sz val="7"/>
        <rFont val="Calibri"/>
        <family val="2"/>
        <scheme val="minor"/>
      </rPr>
      <t>M24 x 200</t>
    </r>
  </si>
  <si>
    <r>
      <rPr>
        <sz val="7"/>
        <rFont val="Calibri"/>
        <family val="2"/>
        <scheme val="minor"/>
      </rPr>
      <t>M20 x 200</t>
    </r>
  </si>
  <si>
    <r>
      <rPr>
        <sz val="7"/>
        <rFont val="Calibri"/>
        <family val="2"/>
        <scheme val="minor"/>
      </rPr>
      <t>M24 x 220</t>
    </r>
  </si>
  <si>
    <r>
      <rPr>
        <sz val="7"/>
        <rFont val="Calibri"/>
        <family val="2"/>
        <scheme val="minor"/>
      </rPr>
      <t>M24 x 240</t>
    </r>
  </si>
  <si>
    <r>
      <rPr>
        <sz val="7"/>
        <rFont val="Calibri"/>
        <family val="2"/>
        <scheme val="minor"/>
      </rPr>
      <t>M20 x 240</t>
    </r>
  </si>
  <si>
    <r>
      <rPr>
        <sz val="7"/>
        <rFont val="Calibri"/>
        <family val="2"/>
        <scheme val="minor"/>
      </rPr>
      <t>M24 x 260</t>
    </r>
  </si>
  <si>
    <r>
      <rPr>
        <sz val="7"/>
        <rFont val="Calibri"/>
        <family val="2"/>
        <scheme val="minor"/>
      </rPr>
      <t>M30 x 260</t>
    </r>
  </si>
  <si>
    <r>
      <rPr>
        <sz val="7"/>
        <rFont val="Calibri"/>
        <family val="2"/>
        <scheme val="minor"/>
      </rPr>
      <t>M30 x 280</t>
    </r>
  </si>
  <si>
    <r>
      <rPr>
        <b/>
        <u/>
        <sz val="7"/>
        <rFont val="Calibri"/>
        <family val="2"/>
        <scheme val="minor"/>
      </rPr>
      <t>HDPE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Bolt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Sizes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for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T1000/3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Flanges</t>
    </r>
    <r>
      <rPr>
        <sz val="7"/>
        <rFont val="Calibri"/>
        <family val="2"/>
        <scheme val="minor"/>
      </rPr>
      <t xml:space="preserve">                 </t>
    </r>
    <r>
      <rPr>
        <b/>
        <u/>
        <sz val="7"/>
        <rFont val="Calibri"/>
        <family val="2"/>
        <scheme val="minor"/>
      </rPr>
      <t>HDPE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Bolt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Sizes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for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T1600/3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Flanges</t>
    </r>
    <r>
      <rPr>
        <sz val="7"/>
        <rFont val="Calibri"/>
        <family val="2"/>
        <scheme val="minor"/>
      </rPr>
      <t xml:space="preserve">                      </t>
    </r>
    <r>
      <rPr>
        <b/>
        <u/>
        <sz val="7"/>
        <rFont val="Calibri"/>
        <family val="2"/>
        <scheme val="minor"/>
      </rPr>
      <t>HDPE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Bolt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Sizes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for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TD</t>
    </r>
    <r>
      <rPr>
        <u/>
        <sz val="7"/>
        <rFont val="Calibri"/>
        <family val="2"/>
        <scheme val="minor"/>
      </rPr>
      <t> </t>
    </r>
    <r>
      <rPr>
        <b/>
        <u/>
        <sz val="7"/>
        <rFont val="Calibri"/>
        <family val="2"/>
        <scheme val="minor"/>
      </rPr>
      <t>Flanges</t>
    </r>
  </si>
  <si>
    <r>
      <rPr>
        <sz val="7"/>
        <color rgb="FFFF0000"/>
        <rFont val="Calibri"/>
        <family val="2"/>
        <scheme val="minor"/>
      </rPr>
      <t>HDPE to STEEL                                                                  HDPE to STEEL                                                                  HDPE to STEEL</t>
    </r>
  </si>
  <si>
    <r>
      <rPr>
        <sz val="7"/>
        <rFont val="Calibri"/>
        <family val="2"/>
        <scheme val="minor"/>
      </rPr>
      <t>M16 x 70</t>
    </r>
  </si>
  <si>
    <r>
      <rPr>
        <sz val="7"/>
        <rFont val="Calibri"/>
        <family val="2"/>
        <scheme val="minor"/>
      </rPr>
      <t>M16 x 75</t>
    </r>
  </si>
  <si>
    <r>
      <rPr>
        <sz val="7"/>
        <rFont val="Calibri"/>
        <family val="2"/>
        <scheme val="minor"/>
      </rPr>
      <t>M16 x 80</t>
    </r>
  </si>
  <si>
    <r>
      <rPr>
        <sz val="7"/>
        <rFont val="Calibri"/>
        <family val="2"/>
        <scheme val="minor"/>
      </rPr>
      <t>M20 x 100</t>
    </r>
  </si>
  <si>
    <r>
      <rPr>
        <sz val="7"/>
        <rFont val="Calibri"/>
        <family val="2"/>
        <scheme val="minor"/>
      </rPr>
      <t>M20 x 110</t>
    </r>
  </si>
  <si>
    <r>
      <rPr>
        <sz val="7"/>
        <rFont val="Calibri"/>
        <family val="2"/>
        <scheme val="minor"/>
      </rPr>
      <t>M20 x 120</t>
    </r>
  </si>
  <si>
    <r>
      <rPr>
        <sz val="7"/>
        <rFont val="Calibri"/>
        <family val="2"/>
        <scheme val="minor"/>
      </rPr>
      <t>M24 x 140</t>
    </r>
  </si>
  <si>
    <r>
      <rPr>
        <sz val="7"/>
        <rFont val="Calibri"/>
        <family val="2"/>
        <scheme val="minor"/>
      </rPr>
      <t>M24 x 150</t>
    </r>
  </si>
  <si>
    <r>
      <rPr>
        <sz val="7"/>
        <rFont val="Calibri"/>
        <family val="2"/>
        <scheme val="minor"/>
      </rPr>
      <t>M24 x 160</t>
    </r>
  </si>
  <si>
    <r>
      <rPr>
        <sz val="7"/>
        <rFont val="Calibri"/>
        <family val="2"/>
        <scheme val="minor"/>
      </rPr>
      <t>M30 x 200</t>
    </r>
  </si>
  <si>
    <r>
      <rPr>
        <sz val="7"/>
        <rFont val="Calibri"/>
        <family val="2"/>
        <scheme val="minor"/>
      </rPr>
      <t>M30 x 220</t>
    </r>
  </si>
  <si>
    <r>
      <rPr>
        <sz val="7"/>
        <color rgb="FFFF0000"/>
        <rFont val="Calibri"/>
        <family val="2"/>
        <scheme val="minor"/>
      </rPr>
      <t>STEEL to STEEL</t>
    </r>
  </si>
  <si>
    <t>STEEL to STEEL</t>
  </si>
  <si>
    <r>
      <rPr>
        <b/>
        <sz val="7"/>
        <rFont val="Calibri"/>
        <family val="2"/>
        <scheme val="minor"/>
      </rPr>
      <t>NB</t>
    </r>
    <r>
      <rPr>
        <sz val="7"/>
        <rFont val="Calibri"/>
        <family val="2"/>
        <scheme val="minor"/>
      </rPr>
      <t xml:space="preserve"> </t>
    </r>
    <r>
      <rPr>
        <b/>
        <sz val="7"/>
        <rFont val="Calibri"/>
        <family val="2"/>
        <scheme val="minor"/>
      </rPr>
      <t>STEEL</t>
    </r>
  </si>
  <si>
    <r>
      <rPr>
        <sz val="7"/>
        <rFont val="Calibri"/>
        <family val="2"/>
        <scheme val="minor"/>
      </rPr>
      <t>M16 x 50</t>
    </r>
  </si>
  <si>
    <r>
      <rPr>
        <sz val="7"/>
        <rFont val="Calibri"/>
        <family val="2"/>
        <scheme val="minor"/>
      </rPr>
      <t>M16 x 55</t>
    </r>
  </si>
  <si>
    <r>
      <rPr>
        <sz val="7"/>
        <rFont val="Calibri"/>
        <family val="2"/>
        <scheme val="minor"/>
      </rPr>
      <t>M16 x 60</t>
    </r>
  </si>
  <si>
    <r>
      <rPr>
        <sz val="7"/>
        <rFont val="Calibri"/>
        <family val="2"/>
        <scheme val="minor"/>
      </rPr>
      <t>M20 x 65</t>
    </r>
  </si>
  <si>
    <r>
      <rPr>
        <sz val="7"/>
        <rFont val="Calibri"/>
        <family val="2"/>
        <scheme val="minor"/>
      </rPr>
      <t>M20 x 70</t>
    </r>
  </si>
  <si>
    <r>
      <rPr>
        <sz val="7"/>
        <rFont val="Calibri"/>
        <family val="2"/>
        <scheme val="minor"/>
      </rPr>
      <t>M20 x 80</t>
    </r>
  </si>
  <si>
    <r>
      <rPr>
        <sz val="7"/>
        <rFont val="Calibri"/>
        <family val="2"/>
        <scheme val="minor"/>
      </rPr>
      <t>M20 x 75</t>
    </r>
  </si>
  <si>
    <r>
      <rPr>
        <sz val="7"/>
        <rFont val="Calibri"/>
        <family val="2"/>
        <scheme val="minor"/>
      </rPr>
      <t>M24 x 90</t>
    </r>
  </si>
  <si>
    <r>
      <rPr>
        <sz val="7"/>
        <rFont val="Calibri"/>
        <family val="2"/>
        <scheme val="minor"/>
      </rPr>
      <t>M24 x 100</t>
    </r>
  </si>
  <si>
    <r>
      <rPr>
        <sz val="7"/>
        <rFont val="Calibri"/>
        <family val="2"/>
        <scheme val="minor"/>
      </rPr>
      <t>M20 x 90</t>
    </r>
  </si>
  <si>
    <r>
      <rPr>
        <sz val="7"/>
        <rFont val="Calibri"/>
        <family val="2"/>
        <scheme val="minor"/>
      </rPr>
      <t>M24 x 110</t>
    </r>
  </si>
  <si>
    <r>
      <rPr>
        <sz val="7"/>
        <rFont val="Calibri"/>
        <family val="2"/>
        <scheme val="minor"/>
      </rPr>
      <t>M24 x 120</t>
    </r>
  </si>
  <si>
    <r>
      <rPr>
        <sz val="7"/>
        <rFont val="Calibri"/>
        <family val="2"/>
        <scheme val="minor"/>
      </rPr>
      <t>M30 x 130</t>
    </r>
  </si>
  <si>
    <r>
      <rPr>
        <sz val="7"/>
        <rFont val="Calibri"/>
        <family val="2"/>
        <scheme val="minor"/>
      </rPr>
      <t>M30 x 140</t>
    </r>
  </si>
  <si>
    <r>
      <rPr>
        <sz val="7"/>
        <rFont val="Calibri"/>
        <family val="2"/>
        <scheme val="minor"/>
      </rPr>
      <t>M30 x 150</t>
    </r>
  </si>
  <si>
    <r>
      <rPr>
        <sz val="7"/>
        <rFont val="Calibri"/>
        <family val="2"/>
        <scheme val="minor"/>
      </rPr>
      <t>NOTE: The bolt diameters and length refer to flanges drilled to the above standard only - length of bolts allow for washers and gaskets where
needed. (All dimensions tabled in millimetres - mm)</t>
    </r>
  </si>
  <si>
    <t>DESCRIPTION</t>
  </si>
  <si>
    <t>JENFIT</t>
  </si>
  <si>
    <t>JENFIT LIST PRICE 2021</t>
  </si>
  <si>
    <t>FEMALE ADAPTOR</t>
  </si>
  <si>
    <t>cost BTI</t>
  </si>
  <si>
    <t>Selling BTI</t>
  </si>
  <si>
    <t xml:space="preserve">List </t>
  </si>
  <si>
    <t>16mm X ½ FEMALE ADAPTOR</t>
  </si>
  <si>
    <t>16mm X ¾ FEMALE ADAPTOR</t>
  </si>
  <si>
    <t>20mm X ½ FEMALE ADAPTOR</t>
  </si>
  <si>
    <t>20mm X ¾ FEMALE ADAPTOR</t>
  </si>
  <si>
    <t>25mm X ½ FEMALE ADAPTOR</t>
  </si>
  <si>
    <t>25mm X ¾ FEMALE ADAPTOR</t>
  </si>
  <si>
    <t>25mm X 1 FEMALE ADAPTOR</t>
  </si>
  <si>
    <t>32mm X ½ FEMALE ADAPTOR</t>
  </si>
  <si>
    <t>32mm X ¾ FEMALE ADAPTOR</t>
  </si>
  <si>
    <t>32mm X 1 FEMALE ADAPTOR</t>
  </si>
  <si>
    <t>32mm X 1¼ FEMALE ADAPTOR</t>
  </si>
  <si>
    <t>40mm X 1 FEMALE ADAPTOR</t>
  </si>
  <si>
    <t>40mm X 1¼ FEMALE ADAPTOR</t>
  </si>
  <si>
    <t>40mm X 1½ FEMALE ADAPTOR</t>
  </si>
  <si>
    <t>50mm X 1 FEMALE ADAPTOR</t>
  </si>
  <si>
    <t>50mm X 1¼ FEMALE ADAPTOR</t>
  </si>
  <si>
    <t>50mm X 1½ FEMALE ADAPTOR</t>
  </si>
  <si>
    <t>50mm X 2 FEMALE ADAPTOR</t>
  </si>
  <si>
    <t>63mm X 1½ FEMALE ADAPTOR</t>
  </si>
  <si>
    <t>63mm X 2 FEMALE ADAPTOR</t>
  </si>
  <si>
    <t xml:space="preserve">63mm X 2½ FEMALE ADAPTOR </t>
  </si>
  <si>
    <t>75mm X 2 FEMALE ADAPTOR</t>
  </si>
  <si>
    <t>75mm X 2½ FEMALE ADAPTOR</t>
  </si>
  <si>
    <t>75mm X 3 FEMALE ADAPTOR</t>
  </si>
  <si>
    <t>90mm X 2 FEMALE ADAPTOR</t>
  </si>
  <si>
    <t>90mm X 2½ FEMALE ADAPTOR</t>
  </si>
  <si>
    <t>90mm X 3 FEMALE ADAPTOR</t>
  </si>
  <si>
    <t>90mm X 4 FEMALE ADAPTOR</t>
  </si>
  <si>
    <t>110mm X 2 FEMALE ADAPTOR</t>
  </si>
  <si>
    <t>110mm X 3 FEMALE ADAPTOR</t>
  </si>
  <si>
    <t xml:space="preserve">110mm X 4 FEMALE ADAPTOR </t>
  </si>
  <si>
    <t>MALE ADAPTOR</t>
  </si>
  <si>
    <t>16mm X ½ MALE ADAPTOR</t>
  </si>
  <si>
    <t>16mm X ¾ MALE ADAPTOR</t>
  </si>
  <si>
    <t>20mm X ½ MALE ADAPTOR</t>
  </si>
  <si>
    <t>20mm X ¾ MALE ADAPTOR</t>
  </si>
  <si>
    <t>20mmX 1 MALE ADAPTOR</t>
  </si>
  <si>
    <t>25mm X ½ MALE ADAPTOR</t>
  </si>
  <si>
    <t>25mm X ¾ MALE ADAPTOR</t>
  </si>
  <si>
    <t>25mm X 1 MALE ADAPTOR</t>
  </si>
  <si>
    <t>32mm X ¾ MALE ADAPTOR</t>
  </si>
  <si>
    <t>32mm X 1 MALE ADAPTOR</t>
  </si>
  <si>
    <t>32mm X 1¼ MALE ADAPTOR</t>
  </si>
  <si>
    <t>32mm X 1½ MALE ADAPTOR</t>
  </si>
  <si>
    <t>40mm X ¾ MALE ADAPTOR</t>
  </si>
  <si>
    <t>40mm X 1 MALE ADAPTOR</t>
  </si>
  <si>
    <t>40mm X 1¼ MALE ADAPTOR</t>
  </si>
  <si>
    <t>40mm X 1½ MALE ADAPTOR</t>
  </si>
  <si>
    <t>50mm X 1 MALE ADAPTOR</t>
  </si>
  <si>
    <t>50mm X 1¼ MALE ADAPTOR</t>
  </si>
  <si>
    <t>50mm X 1½ MALE ADAPTOR</t>
  </si>
  <si>
    <t>50mm X 2 MALE ADAPTOR</t>
  </si>
  <si>
    <t>63mm X 1¼ MALE ADAPTOR</t>
  </si>
  <si>
    <t>63mm X 1½ MALE ADAPTOR</t>
  </si>
  <si>
    <t>63mm X 2 MALE ADAPTOR</t>
  </si>
  <si>
    <t>63mm X 2½ MALE ADAPTOR</t>
  </si>
  <si>
    <t>75mm X 2 MALE ADAPTOR</t>
  </si>
  <si>
    <t>75mm X 2½ MALE ADAPTOR</t>
  </si>
  <si>
    <t>75mm X 3 MALE ADAPTOR</t>
  </si>
  <si>
    <t>90mm x 2 MALE ADAPTOR</t>
  </si>
  <si>
    <t>90mm X 2½ MALE ADAPTOR</t>
  </si>
  <si>
    <t>90mm X 3 MALE ADAPTOR</t>
  </si>
  <si>
    <t xml:space="preserve">90mm X 4 MALE ADAPTOR </t>
  </si>
  <si>
    <t>110mm X 2 MALE ADAPTOR</t>
  </si>
  <si>
    <t>110mm X 3 MALE ADAPTOR</t>
  </si>
  <si>
    <t>110mm X 4 MALE ADAPTOR</t>
  </si>
  <si>
    <t>REDUCING COUPLING</t>
  </si>
  <si>
    <t>20 X 16 REDUCING COUPLING</t>
  </si>
  <si>
    <t>25 X 16 REDUCING COUPLING</t>
  </si>
  <si>
    <t>25 x 20  REDUCING COUPLING</t>
  </si>
  <si>
    <t>32 x 20  REDUCING COUPLING</t>
  </si>
  <si>
    <t>32 x 25 REDUCING COUPLING</t>
  </si>
  <si>
    <t>40 x 20 REDUCING COUPLING</t>
  </si>
  <si>
    <t>40 x 25 REDUCING COUPLING</t>
  </si>
  <si>
    <t>40 x 32 REDUCING COUPLING</t>
  </si>
  <si>
    <t>50 X 25 REDUCING COUPLING</t>
  </si>
  <si>
    <t>50 X 32 REDUCING COUPLING</t>
  </si>
  <si>
    <t>50 X 40 REDUCING COUPLING</t>
  </si>
  <si>
    <t>63 X 32 REDUCING COUPLING</t>
  </si>
  <si>
    <t>63 X 40 REDUCING COUPLING</t>
  </si>
  <si>
    <t>63 X 50 REDUCING COUPLING</t>
  </si>
  <si>
    <t>75 X 50 REDUCING COUPLING</t>
  </si>
  <si>
    <t>75 X 63 REDUCING COUPLING</t>
  </si>
  <si>
    <t>90 X 63 REDUCING COUPLING</t>
  </si>
  <si>
    <t>90 X 75 REDUCING COUPLING</t>
  </si>
  <si>
    <t>110 X 75 REDUCING COUPLING</t>
  </si>
  <si>
    <t>110 X 90 REDUCING COUPLING</t>
  </si>
  <si>
    <t>COUPLING</t>
  </si>
  <si>
    <t>16mm X 16mm COUPLING</t>
  </si>
  <si>
    <t>20mm X 20mm COUPLING</t>
  </si>
  <si>
    <t>25mm X 25mm COUPLING</t>
  </si>
  <si>
    <t>32mm X 32mm COUPLING</t>
  </si>
  <si>
    <t>40mm X 40mm COUPLING</t>
  </si>
  <si>
    <t>50mm X 50mm COUPLING</t>
  </si>
  <si>
    <t>63mm X 63mm COUPLING</t>
  </si>
  <si>
    <t>75mm X 75mm COUPLING</t>
  </si>
  <si>
    <t>90mm X 90mm COUPLING</t>
  </si>
  <si>
    <t>110mm X 110mm COUPLING</t>
  </si>
  <si>
    <t>EQUAL ELBOW</t>
  </si>
  <si>
    <t>16mm EQUAL ELBOW</t>
  </si>
  <si>
    <t>20mm EQUAL ELBOW</t>
  </si>
  <si>
    <t>25mm EQUAL ELBOW</t>
  </si>
  <si>
    <t>32mm EQUAL ELBOW</t>
  </si>
  <si>
    <t>40mm EQUAL ELBOW</t>
  </si>
  <si>
    <t>50mm EQUAL ELBOW</t>
  </si>
  <si>
    <t>63mm EQUAL ELBOW</t>
  </si>
  <si>
    <t>75mm EQUAL ELBOW</t>
  </si>
  <si>
    <t>90mm EQUAL ELBOW</t>
  </si>
  <si>
    <t>110mm EQUAL ELBOW</t>
  </si>
  <si>
    <t>FEMALE ELBOW</t>
  </si>
  <si>
    <t>16mm X ½ FEMALE ELBOW</t>
  </si>
  <si>
    <t>16mm X ¾ FEMALE ELBOW</t>
  </si>
  <si>
    <t>20mm X ½ FEMALE ELBOW</t>
  </si>
  <si>
    <t>20mm X ¾ FEMALE ELBOW</t>
  </si>
  <si>
    <t>25mm X ½ FEMALE ELBOW</t>
  </si>
  <si>
    <t>25mm X ¾ FEMALE ELBOW</t>
  </si>
  <si>
    <t>25mm X 1 FEMALE ELBOW</t>
  </si>
  <si>
    <t>32mm X ½ FEMALE ELBOW</t>
  </si>
  <si>
    <t>32mm X ¾ FEMALE ELBOW</t>
  </si>
  <si>
    <t>32mm X 1 FEMALE ELBOW</t>
  </si>
  <si>
    <t>32mm X 1¼ FEMALE ELBOW</t>
  </si>
  <si>
    <t>40mm X 1 FEMALE ELBOW</t>
  </si>
  <si>
    <t>40mm X 1¼ FEMALE ELBOW</t>
  </si>
  <si>
    <t>40mm X 1½ FEMALE ELBOW</t>
  </si>
  <si>
    <t>50mm X 1¼ FEMALE ELBOW</t>
  </si>
  <si>
    <t>50mm X 1½ FEMALE ELBOW</t>
  </si>
  <si>
    <t>50mm X 2 FEMALE ELBOW</t>
  </si>
  <si>
    <t>63mm X 1½ FEMALE ELBOW</t>
  </si>
  <si>
    <t>63mm X 2 FEMALE ELBOW</t>
  </si>
  <si>
    <t>63mm X 2½ FEMALE ELBOW</t>
  </si>
  <si>
    <t>75mm X 2½ FEMALE ELBOW</t>
  </si>
  <si>
    <t>75mm X 3 FEMALE ELBOW</t>
  </si>
  <si>
    <t>90mm X 3 FEMALE ELBOW</t>
  </si>
  <si>
    <t>110mm X 4 FEMALE ELBOW</t>
  </si>
  <si>
    <t>EQUAL TEE</t>
  </si>
  <si>
    <t>16mm EQUAL TEE</t>
  </si>
  <si>
    <t>20mm EQUAL TEE</t>
  </si>
  <si>
    <t>25mm EQUAL TEE</t>
  </si>
  <si>
    <t>32mm EQUAL TEE</t>
  </si>
  <si>
    <t>40mm EQUAL TEE</t>
  </si>
  <si>
    <t>50mm EQUAL TEE</t>
  </si>
  <si>
    <t>63mm EQUAL TEE</t>
  </si>
  <si>
    <t>75mm EQUAL TEE</t>
  </si>
  <si>
    <t>90mm EQUAL TEE</t>
  </si>
  <si>
    <t>110mm EQUAL TEE</t>
  </si>
  <si>
    <t>REDUCING TEE</t>
  </si>
  <si>
    <t>20 X 16 X 20 REDUCING TEE</t>
  </si>
  <si>
    <t>25 x 20 x 25 REDUCING TEE</t>
  </si>
  <si>
    <t>32 x 20 x 32 REDUCING TEE</t>
  </si>
  <si>
    <t>32 X 25 X 32 REDUCING TEE</t>
  </si>
  <si>
    <t>40 x 25 x 40 REDUCING TEE</t>
  </si>
  <si>
    <t>40 x 32 x 40 REDUCING TEE</t>
  </si>
  <si>
    <t>50 x 25 x 50  REDUCING TEE</t>
  </si>
  <si>
    <t>50 x 32 x 50 REDUCING TEE</t>
  </si>
  <si>
    <t>50 x 40 x 50 REDUCING TEE</t>
  </si>
  <si>
    <t>63 x 50 x 63 REDUCING TEE</t>
  </si>
  <si>
    <t>75 X 63 X 75 REDUCING TEE</t>
  </si>
  <si>
    <t>90 x 75 x 90 REDUCING TEE</t>
  </si>
  <si>
    <t>110 X 63 X 110 REDUCING TEE</t>
  </si>
  <si>
    <t>110 X 90 X 110 REDUCING TEE</t>
  </si>
  <si>
    <t>MALE TEE</t>
  </si>
  <si>
    <t>16mm X ½ MALE TEE</t>
  </si>
  <si>
    <t>16mm X ¾ MALE TEE</t>
  </si>
  <si>
    <t>20mm X ½ MALE TEE</t>
  </si>
  <si>
    <t>20mm X ¾ MALE TEE</t>
  </si>
  <si>
    <t>20mm X 1 MALE TEE</t>
  </si>
  <si>
    <t>25mm X ½ MALE TEE</t>
  </si>
  <si>
    <t>25mm X ¾ MALE TEE</t>
  </si>
  <si>
    <t>25mm X 1 MALE TEE</t>
  </si>
  <si>
    <t>32mm X ¾ MALE TEE</t>
  </si>
  <si>
    <t>32mm x 1 MALE TEE</t>
  </si>
  <si>
    <t>32mm X 1¼ MALE TEE</t>
  </si>
  <si>
    <t>32mm X 1½ MALE TEE</t>
  </si>
  <si>
    <t>40mm X 1 MALE TEE</t>
  </si>
  <si>
    <t>40mm X 1¼ MALE TEE</t>
  </si>
  <si>
    <t>40mm X 1½  MALE TEE</t>
  </si>
  <si>
    <t>50mm X 1¼ MALE TEE</t>
  </si>
  <si>
    <t>50mm X 1½ MALE TEE</t>
  </si>
  <si>
    <t>50mm X 2 MALE TEE</t>
  </si>
  <si>
    <t>63mm X 1½ MALE TEE</t>
  </si>
  <si>
    <t>63mm X 2  MALE TEE</t>
  </si>
  <si>
    <t>63mm x 2½  TEE MALE</t>
  </si>
  <si>
    <t>75mm X 2½ MALE TEE</t>
  </si>
  <si>
    <t>75mm X 3 MALE TEE</t>
  </si>
  <si>
    <t>90mm x 3 MALE TEE</t>
  </si>
  <si>
    <t>110mm x 4 MALE TEE</t>
  </si>
  <si>
    <t>FEMALE TEE</t>
  </si>
  <si>
    <t>16mm X ½ FEMALE TEE</t>
  </si>
  <si>
    <t>16mm X ¾ FEMALE TEE</t>
  </si>
  <si>
    <t>20mm X ½ FEMALE TEE</t>
  </si>
  <si>
    <t>20mm X ¾ FEMALE TEE</t>
  </si>
  <si>
    <t>25mm X ½ FEMALE TEE</t>
  </si>
  <si>
    <t>25mm X ¾ FEMALE TEE</t>
  </si>
  <si>
    <t>25mm X 1 FEMALE TEE</t>
  </si>
  <si>
    <t>32mm x ½  FEMALE TEE</t>
  </si>
  <si>
    <t>32mm X ¾ FEMALE TEE</t>
  </si>
  <si>
    <t>32mm X 1 FEMALE TEE</t>
  </si>
  <si>
    <t>32mm X 1¼ FEMALE TEE</t>
  </si>
  <si>
    <t>32mm X 1½ FEMALE TEE</t>
  </si>
  <si>
    <t>40mm X ¾ FEMALE TEE</t>
  </si>
  <si>
    <t>40mm x 1 FEMALE TEE</t>
  </si>
  <si>
    <t>40mm X 1¼ FEMALE TEE</t>
  </si>
  <si>
    <t>40mm X 1½ FEMALE TEE</t>
  </si>
  <si>
    <t>50mm X 1 FEMALE TEE</t>
  </si>
  <si>
    <t>50mm X 1¼ FEMALE TEE</t>
  </si>
  <si>
    <t>50mm X 1½ FEMALE TEE</t>
  </si>
  <si>
    <t>50mm X 2 FEMALE TEE</t>
  </si>
  <si>
    <t>63mm x 1½ FEMALE TEE</t>
  </si>
  <si>
    <t>63mm X 2  FEMALE TEE</t>
  </si>
  <si>
    <t>63mm X 2½ FEMALE TEE</t>
  </si>
  <si>
    <t>75mm X 2  FEMALE TEE</t>
  </si>
  <si>
    <t>75mm X 2½ FEMALE TEE</t>
  </si>
  <si>
    <t xml:space="preserve">75mm X 3 FEMALE TEE </t>
  </si>
  <si>
    <t>90mm x 2½ FEMALE TEE</t>
  </si>
  <si>
    <t xml:space="preserve">90mm X 3 FEMALE TEE </t>
  </si>
  <si>
    <t xml:space="preserve">110mm x 3 FEMALE TEE </t>
  </si>
  <si>
    <t xml:space="preserve">110mm x 4 FEMALE TEE </t>
  </si>
  <si>
    <t>MALE ELBOW</t>
  </si>
  <si>
    <t>16mm X ½ MALE ELBOW</t>
  </si>
  <si>
    <t>16mm X ¾ MALE ELBOW</t>
  </si>
  <si>
    <t>20mm X ½ MALE ELBOW</t>
  </si>
  <si>
    <t>20mm X ¾ MALE ELBOW</t>
  </si>
  <si>
    <t>20mm X 1 MALE ELBOW</t>
  </si>
  <si>
    <t>25mm X ½ MALE ELBOW</t>
  </si>
  <si>
    <t>25mm X ¾ MALE ELBOW</t>
  </si>
  <si>
    <t>25mm X 1 MALE ELBOW</t>
  </si>
  <si>
    <t>32mm X ½ MALE ELBOW</t>
  </si>
  <si>
    <t>32mm X ¾ MALE ELBOW</t>
  </si>
  <si>
    <t>32mm X 1 MALE ELBOW</t>
  </si>
  <si>
    <t>32mm X 1¼ MALE ELBOW</t>
  </si>
  <si>
    <t>40mm X ¾ MALE ELBOW</t>
  </si>
  <si>
    <t>40mm X 1 MALE ELBOW</t>
  </si>
  <si>
    <t>40mm X 1¼ MALE ELBOW</t>
  </si>
  <si>
    <t>40mm X 1½ MALE ELBOW</t>
  </si>
  <si>
    <t>50mm X 1¼ MALE ELBOW</t>
  </si>
  <si>
    <t>50mm X 1½ MALE ELBOW</t>
  </si>
  <si>
    <t>50mm X 2 MALE ELBOW</t>
  </si>
  <si>
    <t>63mm X 1½ MALE ELBOW</t>
  </si>
  <si>
    <t>63mm X 2 MALE ELBOW</t>
  </si>
  <si>
    <t>63mm X 2½ MALE ELBOW</t>
  </si>
  <si>
    <t>75mm X 2½ MALE ELBOW</t>
  </si>
  <si>
    <t>75mm X 3 MALE ELBOW</t>
  </si>
  <si>
    <t>90mm X 3 MALE ELBOW</t>
  </si>
  <si>
    <t>90mm X 4 MALE ELBOW</t>
  </si>
  <si>
    <t>110mm X 4 MALE ELBOW</t>
  </si>
  <si>
    <t>Increasing Tee</t>
  </si>
  <si>
    <t>20x25x20 Increasing Tee</t>
  </si>
  <si>
    <t>25x32x25 Increasing  Tee</t>
  </si>
  <si>
    <t>End cap</t>
  </si>
  <si>
    <t>16mm END PLUG</t>
  </si>
  <si>
    <t>20mm END PLUG</t>
  </si>
  <si>
    <t>25mm END PLUG</t>
  </si>
  <si>
    <t>32mm END PLUG</t>
  </si>
  <si>
    <t>40mm END PLUG</t>
  </si>
  <si>
    <t>50mm END PLUG</t>
  </si>
  <si>
    <t>63mm END PLUG</t>
  </si>
  <si>
    <t>75mm END PLUG</t>
  </si>
  <si>
    <t>90mm END PLUG</t>
  </si>
  <si>
    <t>110mm END PLUG</t>
  </si>
  <si>
    <t>45deg Equal elbow</t>
  </si>
  <si>
    <t>45 deg Equal elbow 20mm</t>
  </si>
  <si>
    <t>45 deg Equal elbow 25mm</t>
  </si>
  <si>
    <t>45 deg Male elbow</t>
  </si>
  <si>
    <t>20 x ½ MALE ELBOW 45DEG</t>
  </si>
  <si>
    <t>20 x ¾ MALE ELBOW 45 DEG</t>
  </si>
  <si>
    <t>25 x ½ MALE ELBOW 45 DEG</t>
  </si>
  <si>
    <t>25 x ¾ MALE ELBOW 45 DEG</t>
  </si>
  <si>
    <t>45 deg Female elbow</t>
  </si>
  <si>
    <t>20 x ½ FEMALE ELBOW 45 DEG</t>
  </si>
  <si>
    <t>20 x ¾ FEMALE ELBOW 45 DEG</t>
  </si>
  <si>
    <t>25 x ½ FEMALE ELBOW 45 DEG</t>
  </si>
  <si>
    <t>25 x ¾ FEMALE ELBOW 45 DEG</t>
  </si>
  <si>
    <t>Saddle without SS ring</t>
  </si>
  <si>
    <t>25 X ½ SADDLE</t>
  </si>
  <si>
    <t>25 X ¾ SADDLE</t>
  </si>
  <si>
    <t>32 X ½  SADDLE</t>
  </si>
  <si>
    <t>32 X ¾ SADDLE</t>
  </si>
  <si>
    <t>32 X 1 SADDLE</t>
  </si>
  <si>
    <t>40 X ½ SADDLE</t>
  </si>
  <si>
    <t>40 X ¾ SADDLE</t>
  </si>
  <si>
    <t>40 X 1 SADDLE</t>
  </si>
  <si>
    <t>50 X ½  SADDLE</t>
  </si>
  <si>
    <t>50 X ¾ SADDLE</t>
  </si>
  <si>
    <t>50 X 1 SADDLE</t>
  </si>
  <si>
    <t>50 X 1¼ SADDLE</t>
  </si>
  <si>
    <t>NETT</t>
  </si>
  <si>
    <t>63 X ½  SADDLE</t>
  </si>
  <si>
    <t>63 X ¾ SADDLES</t>
  </si>
  <si>
    <t>63 X 1 SADDLE</t>
  </si>
  <si>
    <t>63 X 1¼ SADDLE</t>
  </si>
  <si>
    <t>63 X 1½ SADDLE</t>
  </si>
  <si>
    <t>75 X ½ SADDLE</t>
  </si>
  <si>
    <t>75 X ¾ SADDLE</t>
  </si>
  <si>
    <t>75 X 1 SADDLE</t>
  </si>
  <si>
    <t>75 X 1¼ SADDLE</t>
  </si>
  <si>
    <t>75 X 1 ½  SADDLE</t>
  </si>
  <si>
    <t>75 X 2 SADDLE</t>
  </si>
  <si>
    <t>90 X ½  SADDLE</t>
  </si>
  <si>
    <t>90 X ¾ SADDLE</t>
  </si>
  <si>
    <t>90 X 1 SADDLES</t>
  </si>
  <si>
    <t>90 X 1¼ SADDLE</t>
  </si>
  <si>
    <t>90 X 1½  SADDLE</t>
  </si>
  <si>
    <t>90 X 2 SADDLE</t>
  </si>
  <si>
    <t>110 X ½ SADDLE</t>
  </si>
  <si>
    <t>110 X ¾ SADDLE</t>
  </si>
  <si>
    <t>110 X 1 SADDLE</t>
  </si>
  <si>
    <t>110 X 1¼ SADDLE</t>
  </si>
  <si>
    <t>110 X 1½ SADDLE</t>
  </si>
  <si>
    <t>110 X 2 SADDLE</t>
  </si>
  <si>
    <t>160 X ¾ SADDLE</t>
  </si>
  <si>
    <t>160 X 1 SADDLE</t>
  </si>
  <si>
    <t>160 X 1¼ SADDLE</t>
  </si>
  <si>
    <t>160 X 1½ SADDLE</t>
  </si>
  <si>
    <t>160 X 2 SADDLE</t>
  </si>
  <si>
    <t>200 X ¾ SADDLE</t>
  </si>
  <si>
    <t>200 X 1 SADDLE</t>
  </si>
  <si>
    <t>200 X 1¼ SADDLE</t>
  </si>
  <si>
    <t>200 X 1½ SADDLE</t>
  </si>
  <si>
    <t>200 X 2 SADDLE</t>
  </si>
  <si>
    <t>COMPRESSION SADDLE</t>
  </si>
  <si>
    <t>63 X 25 COMPRESSION SADDLE</t>
  </si>
  <si>
    <t>75 X 25 COMPRESSION SADDLE</t>
  </si>
  <si>
    <t>75 X 32 COMPRESSION SADDLE</t>
  </si>
  <si>
    <t>90 X 25 COMPRESSION SADDLE</t>
  </si>
  <si>
    <t>90 X 32 COMPRESSION SADDLE</t>
  </si>
  <si>
    <t>110 X 20 COMPRESSION SADDLE</t>
  </si>
  <si>
    <t>110 X 25 COMPRESSION SADDLE</t>
  </si>
  <si>
    <t>110 X 32 COMPRESSION SADDLE</t>
  </si>
  <si>
    <t>110 X 40 COMPRESSION SADDLE</t>
  </si>
  <si>
    <t>PVC BALL VALVES</t>
  </si>
  <si>
    <t>1/2"    BALL VALVE THREADED</t>
  </si>
  <si>
    <t>3/4"    BALL VALVE THREADED</t>
  </si>
  <si>
    <t>1"        BALL VALVE THREADED</t>
  </si>
  <si>
    <t>1 1/4" BALL VALVE THREADED</t>
  </si>
  <si>
    <t>1 1/2" BALL VALVE THREADED</t>
  </si>
  <si>
    <t>2"        BALL VALVE THREADED</t>
  </si>
  <si>
    <t xml:space="preserve">FLANGED ADAPTORS </t>
  </si>
  <si>
    <t>50 X 1 1/2"</t>
  </si>
  <si>
    <t>50 X 2"</t>
  </si>
  <si>
    <t>63 X 2"</t>
  </si>
  <si>
    <t>75 X 2 1/2"</t>
  </si>
  <si>
    <t>90 X 3"</t>
  </si>
  <si>
    <t>90 X 4"</t>
  </si>
  <si>
    <t>110 X 4"</t>
  </si>
  <si>
    <t>Product Name</t>
  </si>
  <si>
    <t>ID</t>
  </si>
  <si>
    <t>Description</t>
  </si>
  <si>
    <t>Selling Price</t>
  </si>
  <si>
    <t>product_code</t>
  </si>
  <si>
    <t>category_id</t>
  </si>
  <si>
    <t>Active</t>
  </si>
  <si>
    <t>Created At</t>
  </si>
  <si>
    <t>Updated At</t>
  </si>
  <si>
    <t>size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</si>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</sst>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&quot;\ #,##0.00"/>
    <numFmt numFmtId="165" formatCode="&quot;R&quot;#,##0.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BankGothic Md BT"/>
      <family val="2"/>
    </font>
    <font>
      <b/>
      <u/>
      <sz val="13"/>
      <color rgb="FF006FC0"/>
      <name val="Calibri"/>
      <family val="2"/>
    </font>
    <font>
      <b/>
      <sz val="10"/>
      <color rgb="FF000000"/>
      <name val="Calibri"/>
      <family val="2"/>
      <scheme val="minor"/>
    </font>
    <font>
      <b/>
      <u/>
      <sz val="10"/>
      <color rgb="FF006FC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6FC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u/>
      <sz val="7"/>
      <name val="Calibri"/>
      <family val="2"/>
      <scheme val="minor"/>
    </font>
    <font>
      <u/>
      <sz val="7"/>
      <name val="Calibri"/>
      <family val="2"/>
      <scheme val="minor"/>
    </font>
    <font>
      <sz val="7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3" borderId="1" xfId="0" applyFill="1" applyBorder="1"/>
    <xf numFmtId="4" fontId="0" fillId="0" borderId="0" xfId="0" applyNumberFormat="1"/>
    <xf numFmtId="4" fontId="0" fillId="2" borderId="1" xfId="0" applyNumberFormat="1" applyFill="1" applyBorder="1"/>
    <xf numFmtId="4" fontId="0" fillId="3" borderId="1" xfId="0" applyNumberFormat="1" applyFill="1" applyBorder="1"/>
    <xf numFmtId="4" fontId="0" fillId="4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0" fontId="0" fillId="0" borderId="0" xfId="0" applyNumberFormat="1"/>
    <xf numFmtId="10" fontId="2" fillId="0" borderId="0" xfId="0" applyNumberFormat="1" applyFont="1"/>
    <xf numFmtId="4" fontId="0" fillId="2" borderId="2" xfId="0" applyNumberFormat="1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4" fontId="0" fillId="5" borderId="5" xfId="0" applyNumberFormat="1" applyFill="1" applyBorder="1"/>
    <xf numFmtId="10" fontId="2" fillId="5" borderId="5" xfId="0" applyNumberFormat="1" applyFont="1" applyFill="1" applyBorder="1"/>
    <xf numFmtId="10" fontId="2" fillId="5" borderId="6" xfId="0" applyNumberFormat="1" applyFont="1" applyFill="1" applyBorder="1"/>
    <xf numFmtId="4" fontId="0" fillId="0" borderId="0" xfId="0" applyNumberFormat="1" applyFill="1" applyBorder="1"/>
    <xf numFmtId="4" fontId="0" fillId="2" borderId="3" xfId="0" applyNumberFormat="1" applyFill="1" applyBorder="1"/>
    <xf numFmtId="4" fontId="0" fillId="4" borderId="7" xfId="0" applyNumberFormat="1" applyFill="1" applyBorder="1"/>
    <xf numFmtId="4" fontId="0" fillId="4" borderId="8" xfId="0" applyNumberFormat="1" applyFill="1" applyBorder="1"/>
    <xf numFmtId="4" fontId="0" fillId="2" borderId="9" xfId="0" applyNumberFormat="1" applyFill="1" applyBorder="1"/>
    <xf numFmtId="4" fontId="0" fillId="2" borderId="10" xfId="0" applyNumberFormat="1" applyFill="1" applyBorder="1"/>
    <xf numFmtId="4" fontId="0" fillId="4" borderId="10" xfId="0" applyNumberFormat="1" applyFill="1" applyBorder="1"/>
    <xf numFmtId="4" fontId="0" fillId="3" borderId="10" xfId="0" applyNumberFormat="1" applyFill="1" applyBorder="1"/>
    <xf numFmtId="10" fontId="2" fillId="2" borderId="11" xfId="0" applyNumberFormat="1" applyFont="1" applyFill="1" applyBorder="1"/>
    <xf numFmtId="10" fontId="2" fillId="2" borderId="12" xfId="0" applyNumberFormat="1" applyFont="1" applyFill="1" applyBorder="1"/>
    <xf numFmtId="4" fontId="0" fillId="0" borderId="0" xfId="0" applyNumberFormat="1" applyBorder="1"/>
    <xf numFmtId="4" fontId="0" fillId="2" borderId="13" xfId="0" applyNumberFormat="1" applyFill="1" applyBorder="1"/>
    <xf numFmtId="4" fontId="0" fillId="2" borderId="14" xfId="0" applyNumberFormat="1" applyFill="1" applyBorder="1"/>
    <xf numFmtId="10" fontId="2" fillId="2" borderId="15" xfId="0" applyNumberFormat="1" applyFont="1" applyFill="1" applyBorder="1"/>
    <xf numFmtId="4" fontId="0" fillId="2" borderId="16" xfId="0" applyNumberFormat="1" applyFill="1" applyBorder="1"/>
    <xf numFmtId="4" fontId="0" fillId="2" borderId="17" xfId="0" applyNumberFormat="1" applyFill="1" applyBorder="1"/>
    <xf numFmtId="4" fontId="0" fillId="2" borderId="18" xfId="0" applyNumberFormat="1" applyFill="1" applyBorder="1"/>
    <xf numFmtId="10" fontId="2" fillId="2" borderId="19" xfId="0" applyNumberFormat="1" applyFont="1" applyFill="1" applyBorder="1"/>
    <xf numFmtId="2" fontId="0" fillId="0" borderId="0" xfId="0" applyNumberFormat="1"/>
    <xf numFmtId="0" fontId="3" fillId="5" borderId="21" xfId="0" applyFont="1" applyFill="1" applyBorder="1" applyAlignment="1">
      <alignment horizontal="center" wrapText="1"/>
    </xf>
    <xf numFmtId="0" fontId="0" fillId="0" borderId="22" xfId="0" applyBorder="1" applyAlignment="1">
      <alignment wrapText="1"/>
    </xf>
    <xf numFmtId="0" fontId="0" fillId="0" borderId="20" xfId="0" applyBorder="1"/>
    <xf numFmtId="0" fontId="0" fillId="0" borderId="23" xfId="0" applyBorder="1"/>
    <xf numFmtId="0" fontId="0" fillId="0" borderId="22" xfId="0" applyBorder="1" applyAlignment="1">
      <alignment horizontal="center" wrapText="1"/>
    </xf>
    <xf numFmtId="0" fontId="7" fillId="0" borderId="24" xfId="0" applyFont="1" applyBorder="1" applyAlignment="1">
      <alignment horizontal="center" vertical="top" wrapText="1"/>
    </xf>
    <xf numFmtId="4" fontId="7" fillId="0" borderId="24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2" fontId="7" fillId="0" borderId="24" xfId="0" applyNumberFormat="1" applyFont="1" applyBorder="1" applyAlignment="1">
      <alignment horizontal="center" vertical="top" wrapText="1"/>
    </xf>
    <xf numFmtId="2" fontId="7" fillId="0" borderId="36" xfId="0" applyNumberFormat="1" applyFont="1" applyBorder="1" applyAlignment="1">
      <alignment horizontal="center" vertical="top" wrapText="1"/>
    </xf>
    <xf numFmtId="4" fontId="5" fillId="0" borderId="24" xfId="0" applyNumberFormat="1" applyFont="1" applyBorder="1" applyAlignment="1">
      <alignment horizontal="center" vertical="top" shrinkToFit="1"/>
    </xf>
    <xf numFmtId="10" fontId="5" fillId="0" borderId="24" xfId="0" applyNumberFormat="1" applyFont="1" applyBorder="1" applyAlignment="1">
      <alignment horizontal="center" vertical="top" shrinkToFit="1"/>
    </xf>
    <xf numFmtId="2" fontId="5" fillId="0" borderId="24" xfId="0" applyNumberFormat="1" applyFont="1" applyBorder="1" applyAlignment="1">
      <alignment horizontal="center" vertical="top" shrinkToFit="1"/>
    </xf>
    <xf numFmtId="2" fontId="5" fillId="0" borderId="36" xfId="0" applyNumberFormat="1" applyFont="1" applyBorder="1" applyAlignment="1">
      <alignment horizontal="center" vertical="top" shrinkToFit="1"/>
    </xf>
    <xf numFmtId="0" fontId="7" fillId="0" borderId="40" xfId="0" applyFont="1" applyBorder="1" applyAlignment="1">
      <alignment horizontal="center" vertical="top" wrapText="1"/>
    </xf>
    <xf numFmtId="4" fontId="5" fillId="0" borderId="40" xfId="0" applyNumberFormat="1" applyFont="1" applyBorder="1" applyAlignment="1">
      <alignment horizontal="center" vertical="top" shrinkToFit="1"/>
    </xf>
    <xf numFmtId="10" fontId="5" fillId="0" borderId="40" xfId="0" applyNumberFormat="1" applyFont="1" applyBorder="1" applyAlignment="1">
      <alignment horizontal="center" vertical="top" shrinkToFit="1"/>
    </xf>
    <xf numFmtId="2" fontId="5" fillId="0" borderId="40" xfId="0" applyNumberFormat="1" applyFont="1" applyBorder="1" applyAlignment="1">
      <alignment horizontal="center" vertical="top" shrinkToFit="1"/>
    </xf>
    <xf numFmtId="2" fontId="5" fillId="0" borderId="41" xfId="0" applyNumberFormat="1" applyFont="1" applyBorder="1" applyAlignment="1">
      <alignment horizontal="center" vertical="top" shrinkToFit="1"/>
    </xf>
    <xf numFmtId="0" fontId="7" fillId="0" borderId="31" xfId="0" applyFont="1" applyBorder="1" applyAlignment="1">
      <alignment horizontal="center" vertical="top" wrapText="1"/>
    </xf>
    <xf numFmtId="2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9" fontId="5" fillId="0" borderId="0" xfId="1" applyFont="1" applyFill="1" applyBorder="1" applyAlignment="1">
      <alignment horizontal="left" vertical="top"/>
    </xf>
    <xf numFmtId="4" fontId="5" fillId="0" borderId="0" xfId="0" applyNumberFormat="1" applyFont="1" applyAlignment="1">
      <alignment horizontal="left" vertical="top"/>
    </xf>
    <xf numFmtId="0" fontId="7" fillId="0" borderId="24" xfId="0" applyFont="1" applyBorder="1" applyAlignment="1">
      <alignment horizontal="right" vertical="top" wrapText="1"/>
    </xf>
    <xf numFmtId="2" fontId="5" fillId="0" borderId="24" xfId="0" applyNumberFormat="1" applyFont="1" applyBorder="1" applyAlignment="1">
      <alignment horizontal="left" vertical="top" indent="2" shrinkToFit="1"/>
    </xf>
    <xf numFmtId="2" fontId="5" fillId="0" borderId="24" xfId="0" applyNumberFormat="1" applyFont="1" applyBorder="1" applyAlignment="1">
      <alignment horizontal="right" vertical="top" indent="1" shrinkToFit="1"/>
    </xf>
    <xf numFmtId="2" fontId="5" fillId="0" borderId="24" xfId="0" applyNumberFormat="1" applyFont="1" applyBorder="1" applyAlignment="1">
      <alignment horizontal="right" vertical="top" shrinkToFit="1"/>
    </xf>
    <xf numFmtId="2" fontId="5" fillId="0" borderId="40" xfId="0" applyNumberFormat="1" applyFont="1" applyBorder="1" applyAlignment="1">
      <alignment horizontal="right" vertical="top" shrinkToFit="1"/>
    </xf>
    <xf numFmtId="0" fontId="7" fillId="0" borderId="30" xfId="0" applyFont="1" applyBorder="1" applyAlignment="1">
      <alignment vertical="top" wrapText="1"/>
    </xf>
    <xf numFmtId="0" fontId="7" fillId="0" borderId="32" xfId="0" applyFont="1" applyBorder="1" applyAlignment="1">
      <alignment vertical="top" wrapText="1"/>
    </xf>
    <xf numFmtId="10" fontId="7" fillId="0" borderId="31" xfId="0" applyNumberFormat="1" applyFont="1" applyBorder="1" applyAlignment="1">
      <alignment horizontal="center" vertical="top" wrapText="1"/>
    </xf>
    <xf numFmtId="0" fontId="5" fillId="0" borderId="24" xfId="0" applyFont="1" applyBorder="1" applyAlignment="1">
      <alignment horizontal="left" wrapText="1"/>
    </xf>
    <xf numFmtId="0" fontId="5" fillId="0" borderId="40" xfId="0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4" fontId="5" fillId="0" borderId="0" xfId="0" applyNumberFormat="1" applyFont="1" applyAlignment="1">
      <alignment horizontal="left" vertical="center" wrapText="1"/>
    </xf>
    <xf numFmtId="10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 wrapText="1"/>
    </xf>
    <xf numFmtId="9" fontId="5" fillId="0" borderId="0" xfId="1" applyFont="1" applyFill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top" wrapText="1"/>
    </xf>
    <xf numFmtId="0" fontId="5" fillId="0" borderId="23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9" fontId="5" fillId="0" borderId="1" xfId="1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9" fontId="5" fillId="0" borderId="1" xfId="0" applyNumberFormat="1" applyFont="1" applyBorder="1" applyAlignment="1">
      <alignment horizontal="left" vertical="top"/>
    </xf>
    <xf numFmtId="2" fontId="5" fillId="0" borderId="1" xfId="0" applyNumberFormat="1" applyFont="1" applyBorder="1" applyAlignment="1">
      <alignment horizontal="left" vertical="top"/>
    </xf>
    <xf numFmtId="2" fontId="5" fillId="0" borderId="12" xfId="0" applyNumberFormat="1" applyFont="1" applyBorder="1" applyAlignment="1">
      <alignment horizontal="left" vertical="top"/>
    </xf>
    <xf numFmtId="0" fontId="5" fillId="0" borderId="0" xfId="0" applyFont="1" applyAlignment="1">
      <alignment horizontal="left" wrapText="1"/>
    </xf>
    <xf numFmtId="0" fontId="7" fillId="0" borderId="46" xfId="0" applyFont="1" applyBorder="1" applyAlignment="1">
      <alignment horizontal="center" vertical="top" wrapText="1"/>
    </xf>
    <xf numFmtId="9" fontId="7" fillId="0" borderId="1" xfId="1" applyFont="1" applyFill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left" vertical="top" indent="2" shrinkToFit="1"/>
    </xf>
    <xf numFmtId="0" fontId="7" fillId="0" borderId="25" xfId="0" applyFont="1" applyBorder="1" applyAlignment="1">
      <alignment horizontal="center" vertical="top" wrapText="1"/>
    </xf>
    <xf numFmtId="9" fontId="7" fillId="0" borderId="14" xfId="1" applyFont="1" applyFill="1" applyBorder="1" applyAlignment="1">
      <alignment horizontal="left" vertical="top" wrapText="1" indent="1"/>
    </xf>
    <xf numFmtId="2" fontId="5" fillId="0" borderId="14" xfId="0" applyNumberFormat="1" applyFont="1" applyBorder="1" applyAlignment="1">
      <alignment horizontal="left" vertical="top" indent="2" shrinkToFit="1"/>
    </xf>
    <xf numFmtId="0" fontId="7" fillId="0" borderId="14" xfId="0" applyFont="1" applyBorder="1" applyAlignment="1">
      <alignment horizontal="center" vertical="top" wrapText="1"/>
    </xf>
    <xf numFmtId="9" fontId="5" fillId="0" borderId="14" xfId="0" applyNumberFormat="1" applyFont="1" applyBorder="1" applyAlignment="1">
      <alignment horizontal="left" vertical="top"/>
    </xf>
    <xf numFmtId="2" fontId="5" fillId="0" borderId="14" xfId="0" applyNumberFormat="1" applyFont="1" applyBorder="1" applyAlignment="1">
      <alignment horizontal="left" vertical="top"/>
    </xf>
    <xf numFmtId="2" fontId="5" fillId="0" borderId="15" xfId="0" applyNumberFormat="1" applyFont="1" applyBorder="1" applyAlignment="1">
      <alignment horizontal="left" vertical="top"/>
    </xf>
    <xf numFmtId="9" fontId="7" fillId="0" borderId="0" xfId="1" applyFont="1" applyFill="1" applyBorder="1" applyAlignment="1">
      <alignment horizontal="left" vertical="top" wrapText="1" indent="3"/>
    </xf>
    <xf numFmtId="0" fontId="7" fillId="0" borderId="0" xfId="0" applyFont="1" applyAlignment="1">
      <alignment horizontal="left" vertical="top" wrapText="1" indent="3"/>
    </xf>
    <xf numFmtId="4" fontId="5" fillId="0" borderId="0" xfId="0" applyNumberFormat="1" applyFont="1" applyAlignment="1">
      <alignment horizontal="left" wrapText="1"/>
    </xf>
    <xf numFmtId="10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left" wrapText="1"/>
    </xf>
    <xf numFmtId="9" fontId="5" fillId="0" borderId="0" xfId="1" applyFont="1" applyFill="1" applyBorder="1" applyAlignment="1">
      <alignment horizontal="left" wrapText="1"/>
    </xf>
    <xf numFmtId="0" fontId="5" fillId="0" borderId="52" xfId="0" applyFont="1" applyBorder="1" applyAlignment="1">
      <alignment horizontal="left" vertical="top"/>
    </xf>
    <xf numFmtId="2" fontId="5" fillId="0" borderId="52" xfId="0" applyNumberFormat="1" applyFont="1" applyBorder="1" applyAlignment="1">
      <alignment horizontal="left" vertical="top"/>
    </xf>
    <xf numFmtId="2" fontId="5" fillId="0" borderId="53" xfId="0" applyNumberFormat="1" applyFont="1" applyBorder="1" applyAlignment="1">
      <alignment horizontal="left" vertical="top"/>
    </xf>
    <xf numFmtId="9" fontId="7" fillId="0" borderId="1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  <xf numFmtId="0" fontId="7" fillId="0" borderId="10" xfId="0" applyFont="1" applyBorder="1" applyAlignment="1">
      <alignment horizontal="center" vertical="top" wrapText="1"/>
    </xf>
    <xf numFmtId="9" fontId="5" fillId="0" borderId="1" xfId="1" applyFont="1" applyFill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wrapText="1"/>
    </xf>
    <xf numFmtId="0" fontId="7" fillId="0" borderId="13" xfId="0" applyFont="1" applyBorder="1" applyAlignment="1">
      <alignment horizontal="center" vertical="top" wrapText="1"/>
    </xf>
    <xf numFmtId="9" fontId="5" fillId="0" borderId="14" xfId="1" applyFont="1" applyFill="1" applyBorder="1" applyAlignment="1">
      <alignment horizontal="center" vertical="top" shrinkToFit="1"/>
    </xf>
    <xf numFmtId="2" fontId="5" fillId="0" borderId="14" xfId="0" applyNumberFormat="1" applyFont="1" applyBorder="1" applyAlignment="1">
      <alignment horizontal="center" vertical="top" shrinkToFit="1"/>
    </xf>
    <xf numFmtId="0" fontId="5" fillId="0" borderId="14" xfId="0" applyFont="1" applyBorder="1" applyAlignment="1">
      <alignment horizontal="left" wrapText="1"/>
    </xf>
    <xf numFmtId="0" fontId="5" fillId="0" borderId="14" xfId="0" applyFont="1" applyBorder="1" applyAlignment="1">
      <alignment horizontal="left" vertical="top"/>
    </xf>
    <xf numFmtId="10" fontId="5" fillId="0" borderId="0" xfId="0" applyNumberFormat="1" applyFont="1" applyAlignment="1">
      <alignment horizontal="left"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/>
    </xf>
    <xf numFmtId="0" fontId="13" fillId="0" borderId="58" xfId="0" applyFont="1" applyBorder="1" applyAlignment="1">
      <alignment horizontal="center" vertical="top" wrapText="1"/>
    </xf>
    <xf numFmtId="0" fontId="13" fillId="0" borderId="59" xfId="0" applyFont="1" applyBorder="1" applyAlignment="1">
      <alignment horizontal="center" vertical="top" wrapText="1"/>
    </xf>
    <xf numFmtId="0" fontId="14" fillId="0" borderId="60" xfId="0" applyFont="1" applyBorder="1" applyAlignment="1">
      <alignment horizontal="center" vertical="top" wrapText="1"/>
    </xf>
    <xf numFmtId="0" fontId="13" fillId="0" borderId="0" xfId="0" applyFont="1" applyAlignment="1">
      <alignment horizontal="left" wrapText="1"/>
    </xf>
    <xf numFmtId="0" fontId="13" fillId="0" borderId="59" xfId="0" applyFont="1" applyBorder="1" applyAlignment="1">
      <alignment horizontal="left" vertical="top" wrapText="1" indent="1"/>
    </xf>
    <xf numFmtId="0" fontId="13" fillId="0" borderId="61" xfId="0" applyFont="1" applyBorder="1" applyAlignment="1">
      <alignment horizontal="center" vertical="top" wrapText="1"/>
    </xf>
    <xf numFmtId="0" fontId="13" fillId="0" borderId="24" xfId="0" applyFont="1" applyBorder="1" applyAlignment="1">
      <alignment horizontal="left" vertical="top" wrapText="1" indent="1"/>
    </xf>
    <xf numFmtId="0" fontId="13" fillId="0" borderId="36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  <xf numFmtId="1" fontId="13" fillId="0" borderId="61" xfId="0" applyNumberFormat="1" applyFont="1" applyBorder="1" applyAlignment="1">
      <alignment horizontal="center" vertical="top" shrinkToFit="1"/>
    </xf>
    <xf numFmtId="0" fontId="13" fillId="0" borderId="24" xfId="0" applyFont="1" applyBorder="1" applyAlignment="1">
      <alignment horizontal="center" vertical="top" wrapText="1"/>
    </xf>
    <xf numFmtId="1" fontId="13" fillId="0" borderId="36" xfId="0" applyNumberFormat="1" applyFont="1" applyBorder="1" applyAlignment="1">
      <alignment horizontal="center" vertical="top" shrinkToFit="1"/>
    </xf>
    <xf numFmtId="1" fontId="13" fillId="0" borderId="62" xfId="0" applyNumberFormat="1" applyFont="1" applyBorder="1" applyAlignment="1">
      <alignment horizontal="center" vertical="top" shrinkToFit="1"/>
    </xf>
    <xf numFmtId="0" fontId="13" fillId="0" borderId="40" xfId="0" applyFont="1" applyBorder="1" applyAlignment="1">
      <alignment horizontal="center" vertical="top" wrapText="1"/>
    </xf>
    <xf numFmtId="1" fontId="13" fillId="0" borderId="41" xfId="0" applyNumberFormat="1" applyFont="1" applyBorder="1" applyAlignment="1">
      <alignment horizontal="center" vertical="top" shrinkToFit="1"/>
    </xf>
    <xf numFmtId="0" fontId="13" fillId="0" borderId="40" xfId="0" applyFont="1" applyBorder="1" applyAlignment="1">
      <alignment horizontal="left" vertical="top" wrapText="1" indent="1"/>
    </xf>
    <xf numFmtId="1" fontId="13" fillId="0" borderId="0" xfId="0" applyNumberFormat="1" applyFont="1" applyAlignment="1">
      <alignment horizontal="center" vertical="top" shrinkToFi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 indent="1"/>
    </xf>
    <xf numFmtId="0" fontId="13" fillId="0" borderId="0" xfId="0" applyFont="1" applyAlignment="1">
      <alignment vertical="center" wrapText="1"/>
    </xf>
    <xf numFmtId="0" fontId="14" fillId="0" borderId="24" xfId="0" applyFont="1" applyBorder="1" applyAlignment="1">
      <alignment horizontal="center" vertical="top" wrapText="1"/>
    </xf>
    <xf numFmtId="1" fontId="13" fillId="0" borderId="24" xfId="0" applyNumberFormat="1" applyFont="1" applyBorder="1" applyAlignment="1">
      <alignment horizontal="center" vertical="top" shrinkToFit="1"/>
    </xf>
    <xf numFmtId="0" fontId="13" fillId="0" borderId="0" xfId="0" applyFont="1" applyBorder="1" applyAlignment="1">
      <alignment horizontal="left" wrapText="1"/>
    </xf>
    <xf numFmtId="0" fontId="13" fillId="0" borderId="0" xfId="0" applyFont="1" applyBorder="1" applyAlignment="1">
      <alignment horizontal="left" vertical="center" wrapText="1"/>
    </xf>
    <xf numFmtId="1" fontId="13" fillId="0" borderId="28" xfId="0" applyNumberFormat="1" applyFont="1" applyBorder="1" applyAlignment="1">
      <alignment horizontal="center" vertical="top" shrinkToFit="1"/>
    </xf>
    <xf numFmtId="0" fontId="13" fillId="0" borderId="0" xfId="0" applyFont="1" applyBorder="1" applyAlignment="1">
      <alignment horizontal="center" vertical="top" wrapText="1"/>
    </xf>
    <xf numFmtId="1" fontId="13" fillId="0" borderId="0" xfId="0" applyNumberFormat="1" applyFont="1" applyBorder="1" applyAlignment="1">
      <alignment horizontal="center" vertical="top" shrinkToFit="1"/>
    </xf>
    <xf numFmtId="0" fontId="13" fillId="0" borderId="0" xfId="0" applyFont="1" applyBorder="1" applyAlignment="1">
      <alignment horizontal="left" vertical="top" wrapText="1" indent="1"/>
    </xf>
    <xf numFmtId="1" fontId="13" fillId="0" borderId="65" xfId="0" applyNumberFormat="1" applyFont="1" applyBorder="1" applyAlignment="1">
      <alignment horizontal="center" vertical="top" shrinkToFit="1"/>
    </xf>
    <xf numFmtId="1" fontId="13" fillId="0" borderId="40" xfId="0" applyNumberFormat="1" applyFont="1" applyBorder="1" applyAlignment="1">
      <alignment horizontal="center" vertical="top" shrinkToFit="1"/>
    </xf>
    <xf numFmtId="0" fontId="13" fillId="0" borderId="21" xfId="0" applyFont="1" applyBorder="1" applyAlignment="1">
      <alignment horizontal="left" wrapText="1"/>
    </xf>
    <xf numFmtId="0" fontId="19" fillId="0" borderId="1" xfId="0" applyFont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9" fontId="20" fillId="7" borderId="1" xfId="0" applyNumberFormat="1" applyFont="1" applyFill="1" applyBorder="1" applyAlignment="1">
      <alignment horizontal="center" vertical="center"/>
    </xf>
    <xf numFmtId="165" fontId="20" fillId="7" borderId="1" xfId="0" applyNumberFormat="1" applyFont="1" applyFill="1" applyBorder="1" applyAlignment="1">
      <alignment horizontal="center" vertical="center"/>
    </xf>
    <xf numFmtId="165" fontId="20" fillId="6" borderId="1" xfId="0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9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7" borderId="1" xfId="0" quotePrefix="1" applyFont="1" applyFill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3" borderId="1" xfId="0" quotePrefix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5" fillId="0" borderId="2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top" wrapText="1"/>
    </xf>
    <xf numFmtId="0" fontId="7" fillId="0" borderId="3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7" fillId="0" borderId="33" xfId="0" applyFont="1" applyBorder="1" applyAlignment="1">
      <alignment horizontal="center" vertical="top" wrapText="1"/>
    </xf>
    <xf numFmtId="0" fontId="7" fillId="0" borderId="37" xfId="0" applyFont="1" applyBorder="1" applyAlignment="1">
      <alignment horizontal="center" vertical="top" wrapText="1"/>
    </xf>
    <xf numFmtId="0" fontId="7" fillId="0" borderId="27" xfId="0" applyFont="1" applyBorder="1" applyAlignment="1">
      <alignment horizontal="center" vertical="top" wrapText="1"/>
    </xf>
    <xf numFmtId="0" fontId="5" fillId="0" borderId="42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7" fillId="0" borderId="45" xfId="0" applyFont="1" applyBorder="1" applyAlignment="1">
      <alignment horizontal="center" vertical="top" wrapText="1"/>
    </xf>
    <xf numFmtId="0" fontId="7" fillId="0" borderId="37" xfId="0" applyFont="1" applyBorder="1" applyAlignment="1">
      <alignment horizontal="left" vertical="top" wrapText="1" indent="2"/>
    </xf>
    <xf numFmtId="0" fontId="7" fillId="0" borderId="27" xfId="0" applyFont="1" applyBorder="1" applyAlignment="1">
      <alignment horizontal="left" vertical="top" wrapText="1" indent="2"/>
    </xf>
    <xf numFmtId="0" fontId="7" fillId="0" borderId="38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top" wrapText="1"/>
    </xf>
    <xf numFmtId="0" fontId="7" fillId="0" borderId="47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48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left" vertical="top" wrapText="1" indent="2"/>
    </xf>
    <xf numFmtId="0" fontId="7" fillId="0" borderId="39" xfId="0" applyFont="1" applyBorder="1" applyAlignment="1">
      <alignment horizontal="left" vertical="top" wrapText="1" indent="2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22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51" xfId="0" applyFont="1" applyBorder="1" applyAlignment="1">
      <alignment horizontal="center" vertical="top" wrapText="1"/>
    </xf>
    <xf numFmtId="0" fontId="5" fillId="0" borderId="52" xfId="0" applyFont="1" applyBorder="1" applyAlignment="1">
      <alignment horizontal="center" vertical="top" wrapText="1"/>
    </xf>
    <xf numFmtId="0" fontId="5" fillId="0" borderId="53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left" vertical="top" wrapText="1" indent="1"/>
    </xf>
    <xf numFmtId="0" fontId="7" fillId="0" borderId="27" xfId="0" applyFont="1" applyBorder="1" applyAlignment="1">
      <alignment horizontal="left" vertical="top" wrapText="1" indent="1"/>
    </xf>
    <xf numFmtId="0" fontId="7" fillId="0" borderId="10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left" vertical="top" indent="2" shrinkToFit="1"/>
    </xf>
    <xf numFmtId="0" fontId="7" fillId="0" borderId="5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55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left" vertical="top" indent="1" shrinkToFit="1"/>
    </xf>
    <xf numFmtId="0" fontId="7" fillId="0" borderId="0" xfId="0" applyFont="1" applyAlignment="1">
      <alignment horizontal="left" vertical="top" wrapText="1" indent="3"/>
    </xf>
    <xf numFmtId="0" fontId="7" fillId="0" borderId="0" xfId="0" applyFont="1" applyAlignment="1">
      <alignment horizontal="left" vertical="top" wrapText="1" indent="5"/>
    </xf>
    <xf numFmtId="0" fontId="7" fillId="0" borderId="0" xfId="0" applyFont="1" applyAlignment="1">
      <alignment horizontal="left" vertical="top" wrapText="1" indent="6"/>
    </xf>
    <xf numFmtId="0" fontId="7" fillId="0" borderId="1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2" fontId="5" fillId="0" borderId="14" xfId="0" applyNumberFormat="1" applyFont="1" applyBorder="1" applyAlignment="1">
      <alignment horizontal="left" vertical="top" indent="1" shrinkToFit="1"/>
    </xf>
    <xf numFmtId="0" fontId="7" fillId="0" borderId="56" xfId="0" applyFont="1" applyBorder="1" applyAlignment="1">
      <alignment horizontal="left" vertical="top" wrapText="1" indent="3"/>
    </xf>
    <xf numFmtId="0" fontId="7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wrapText="1"/>
    </xf>
    <xf numFmtId="0" fontId="5" fillId="0" borderId="23" xfId="0" applyFont="1" applyBorder="1" applyAlignment="1">
      <alignment horizontal="center" vertical="top" wrapText="1"/>
    </xf>
    <xf numFmtId="0" fontId="5" fillId="0" borderId="49" xfId="0" applyFont="1" applyBorder="1" applyAlignment="1">
      <alignment horizontal="left" vertical="top" wrapText="1" indent="1"/>
    </xf>
    <xf numFmtId="0" fontId="5" fillId="0" borderId="52" xfId="0" applyFont="1" applyBorder="1" applyAlignment="1">
      <alignment horizontal="left" vertical="top" wrapText="1" indent="1"/>
    </xf>
    <xf numFmtId="0" fontId="5" fillId="0" borderId="50" xfId="0" applyFont="1" applyBorder="1" applyAlignment="1">
      <alignment horizontal="left" vertical="top" wrapText="1" inden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wrapText="1"/>
    </xf>
    <xf numFmtId="0" fontId="5" fillId="0" borderId="5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46" xfId="0" applyFont="1" applyBorder="1" applyAlignment="1">
      <alignment horizontal="center" vertical="top" wrapText="1"/>
    </xf>
    <xf numFmtId="0" fontId="5" fillId="0" borderId="47" xfId="0" applyFont="1" applyBorder="1" applyAlignment="1">
      <alignment horizontal="center" vertical="top" wrapText="1"/>
    </xf>
    <xf numFmtId="0" fontId="7" fillId="0" borderId="57" xfId="0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top" shrinkToFit="1"/>
    </xf>
    <xf numFmtId="0" fontId="5" fillId="0" borderId="14" xfId="0" applyFont="1" applyBorder="1" applyAlignment="1">
      <alignment horizontal="left" wrapText="1"/>
    </xf>
    <xf numFmtId="0" fontId="7" fillId="0" borderId="0" xfId="0" applyFont="1" applyAlignment="1">
      <alignment horizontal="left" vertical="top" wrapText="1" indent="4"/>
    </xf>
    <xf numFmtId="2" fontId="5" fillId="0" borderId="0" xfId="0" applyNumberFormat="1" applyFont="1" applyAlignment="1">
      <alignment horizontal="left" vertical="top" indent="2" shrinkToFit="1"/>
    </xf>
    <xf numFmtId="2" fontId="5" fillId="0" borderId="0" xfId="0" applyNumberFormat="1" applyFont="1" applyAlignment="1">
      <alignment horizontal="left" vertical="top" indent="1" shrinkToFit="1"/>
    </xf>
    <xf numFmtId="0" fontId="7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 indent="34"/>
    </xf>
    <xf numFmtId="0" fontId="7" fillId="0" borderId="0" xfId="0" applyFont="1" applyAlignment="1">
      <alignment horizontal="left" vertical="top" wrapText="1" indent="38"/>
    </xf>
    <xf numFmtId="1" fontId="13" fillId="0" borderId="25" xfId="0" applyNumberFormat="1" applyFont="1" applyBorder="1" applyAlignment="1">
      <alignment horizontal="center" vertical="top" shrinkToFit="1"/>
    </xf>
    <xf numFmtId="1" fontId="13" fillId="0" borderId="45" xfId="0" applyNumberFormat="1" applyFont="1" applyBorder="1" applyAlignment="1">
      <alignment horizontal="center" vertical="top" shrinkToFit="1"/>
    </xf>
    <xf numFmtId="0" fontId="9" fillId="0" borderId="49" xfId="0" applyFont="1" applyBorder="1" applyAlignment="1">
      <alignment horizontal="center" vertical="top" wrapText="1"/>
    </xf>
    <xf numFmtId="0" fontId="9" fillId="0" borderId="52" xfId="0" applyFont="1" applyBorder="1" applyAlignment="1">
      <alignment horizontal="center" vertical="top" wrapText="1"/>
    </xf>
    <xf numFmtId="0" fontId="9" fillId="0" borderId="53" xfId="0" applyFont="1" applyBorder="1" applyAlignment="1">
      <alignment horizontal="center" vertical="top" wrapText="1"/>
    </xf>
    <xf numFmtId="0" fontId="14" fillId="0" borderId="30" xfId="0" applyFont="1" applyBorder="1" applyAlignment="1">
      <alignment horizontal="left" vertical="top" wrapText="1" indent="1"/>
    </xf>
    <xf numFmtId="0" fontId="14" fillId="0" borderId="33" xfId="0" applyFont="1" applyBorder="1" applyAlignment="1">
      <alignment horizontal="left" vertical="top" wrapText="1" indent="1"/>
    </xf>
    <xf numFmtId="0" fontId="13" fillId="0" borderId="25" xfId="0" applyFont="1" applyBorder="1" applyAlignment="1">
      <alignment horizontal="center" vertical="top" wrapText="1"/>
    </xf>
    <xf numFmtId="0" fontId="13" fillId="0" borderId="45" xfId="0" applyFont="1" applyBorder="1" applyAlignment="1">
      <alignment horizontal="center" vertical="top" wrapText="1"/>
    </xf>
    <xf numFmtId="1" fontId="13" fillId="0" borderId="63" xfId="0" applyNumberFormat="1" applyFont="1" applyBorder="1" applyAlignment="1">
      <alignment horizontal="center" vertical="top" shrinkToFit="1"/>
    </xf>
    <xf numFmtId="1" fontId="13" fillId="0" borderId="64" xfId="0" applyNumberFormat="1" applyFont="1" applyBorder="1" applyAlignment="1">
      <alignment horizontal="center" vertical="top" shrinkToFit="1"/>
    </xf>
    <xf numFmtId="0" fontId="13" fillId="0" borderId="2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top" wrapText="1"/>
    </xf>
    <xf numFmtId="0" fontId="13" fillId="0" borderId="52" xfId="0" applyFont="1" applyBorder="1" applyAlignment="1">
      <alignment horizontal="center" vertical="top" wrapText="1"/>
    </xf>
    <xf numFmtId="0" fontId="13" fillId="0" borderId="53" xfId="0" applyFont="1" applyBorder="1" applyAlignment="1">
      <alignment horizontal="center" vertical="top" wrapText="1"/>
    </xf>
    <xf numFmtId="0" fontId="14" fillId="0" borderId="25" xfId="0" applyFont="1" applyBorder="1" applyAlignment="1">
      <alignment horizontal="left" vertical="top" wrapText="1" indent="1"/>
    </xf>
    <xf numFmtId="0" fontId="14" fillId="0" borderId="45" xfId="0" applyFont="1" applyBorder="1" applyAlignment="1">
      <alignment horizontal="left" vertical="top" wrapText="1" indent="1"/>
    </xf>
    <xf numFmtId="0" fontId="13" fillId="0" borderId="28" xfId="0" applyFont="1" applyBorder="1" applyAlignment="1">
      <alignment horizontal="left" vertical="top" wrapText="1" indent="6"/>
    </xf>
    <xf numFmtId="0" fontId="13" fillId="0" borderId="0" xfId="0" applyFont="1" applyBorder="1" applyAlignment="1">
      <alignment horizontal="left" vertical="top" wrapText="1" indent="6"/>
    </xf>
    <xf numFmtId="0" fontId="18" fillId="0" borderId="31" xfId="0" applyFont="1" applyBorder="1" applyAlignment="1">
      <alignment horizontal="center" vertical="top" wrapText="1"/>
    </xf>
    <xf numFmtId="0" fontId="18" fillId="0" borderId="33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8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400050</xdr:colOff>
      <xdr:row>0</xdr:row>
      <xdr:rowOff>114300</xdr:rowOff>
    </xdr:from>
    <xdr:to>
      <xdr:col>21</xdr:col>
      <xdr:colOff>390116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9BF9B-6E01-4965-9C18-E8D20130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14300"/>
          <a:ext cx="1818866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4317</xdr:colOff>
      <xdr:row>0</xdr:row>
      <xdr:rowOff>92894</xdr:rowOff>
    </xdr:from>
    <xdr:ext cx="652554" cy="377379"/>
    <xdr:pic>
      <xdr:nvPicPr>
        <xdr:cNvPr id="3" name="image4.jpeg">
          <a:extLst>
            <a:ext uri="{FF2B5EF4-FFF2-40B4-BE49-F238E27FC236}">
              <a16:creationId xmlns:a16="http://schemas.microsoft.com/office/drawing/2014/main" id="{024EEE31-70BD-4513-A77A-61876A7A4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117" y="92894"/>
          <a:ext cx="652554" cy="37737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880110</xdr:colOff>
      <xdr:row>1</xdr:row>
      <xdr:rowOff>6819</xdr:rowOff>
    </xdr:from>
    <xdr:ext cx="805738" cy="437045"/>
    <xdr:pic>
      <xdr:nvPicPr>
        <xdr:cNvPr id="2" name="image2.jpeg">
          <a:extLst>
            <a:ext uri="{FF2B5EF4-FFF2-40B4-BE49-F238E27FC236}">
              <a16:creationId xmlns:a16="http://schemas.microsoft.com/office/drawing/2014/main" id="{1A7EABAE-2A06-40D6-81B7-76BBA040A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206844"/>
          <a:ext cx="805738" cy="437045"/>
        </a:xfrm>
        <a:prstGeom prst="rect">
          <a:avLst/>
        </a:prstGeom>
      </xdr:spPr>
    </xdr:pic>
    <xdr:clientData/>
  </xdr:oneCellAnchor>
  <xdr:oneCellAnchor>
    <xdr:from>
      <xdr:col>8</xdr:col>
      <xdr:colOff>431673</xdr:colOff>
      <xdr:row>23</xdr:row>
      <xdr:rowOff>64960</xdr:rowOff>
    </xdr:from>
    <xdr:ext cx="778230" cy="402272"/>
    <xdr:pic>
      <xdr:nvPicPr>
        <xdr:cNvPr id="3" name="image3.jpeg">
          <a:extLst>
            <a:ext uri="{FF2B5EF4-FFF2-40B4-BE49-F238E27FC236}">
              <a16:creationId xmlns:a16="http://schemas.microsoft.com/office/drawing/2014/main" id="{DCB7E59F-619A-49C8-8FFB-7EAA1537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4055935"/>
          <a:ext cx="778230" cy="402272"/>
        </a:xfrm>
        <a:prstGeom prst="rect">
          <a:avLst/>
        </a:prstGeom>
      </xdr:spPr>
    </xdr:pic>
    <xdr:clientData/>
  </xdr:oneCellAnchor>
  <xdr:oneCellAnchor>
    <xdr:from>
      <xdr:col>7</xdr:col>
      <xdr:colOff>318642</xdr:colOff>
      <xdr:row>45</xdr:row>
      <xdr:rowOff>45269</xdr:rowOff>
    </xdr:from>
    <xdr:ext cx="652554" cy="377379"/>
    <xdr:pic>
      <xdr:nvPicPr>
        <xdr:cNvPr id="4" name="image4.jpeg">
          <a:extLst>
            <a:ext uri="{FF2B5EF4-FFF2-40B4-BE49-F238E27FC236}">
              <a16:creationId xmlns:a16="http://schemas.microsoft.com/office/drawing/2014/main" id="{6F945A3F-DCC2-44D6-B080-48B7E64D8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827194"/>
          <a:ext cx="652554" cy="377379"/>
        </a:xfrm>
        <a:prstGeom prst="rect">
          <a:avLst/>
        </a:prstGeom>
      </xdr:spPr>
    </xdr:pic>
    <xdr:clientData/>
  </xdr:oneCellAnchor>
  <xdr:oneCellAnchor>
    <xdr:from>
      <xdr:col>7</xdr:col>
      <xdr:colOff>414782</xdr:colOff>
      <xdr:row>67</xdr:row>
      <xdr:rowOff>18262</xdr:rowOff>
    </xdr:from>
    <xdr:ext cx="478029" cy="405451"/>
    <xdr:pic>
      <xdr:nvPicPr>
        <xdr:cNvPr id="5" name="image5.jpeg">
          <a:extLst>
            <a:ext uri="{FF2B5EF4-FFF2-40B4-BE49-F238E27FC236}">
              <a16:creationId xmlns:a16="http://schemas.microsoft.com/office/drawing/2014/main" id="{8109C323-0834-43AE-BF42-540B92AD5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1591137"/>
          <a:ext cx="478029" cy="405451"/>
        </a:xfrm>
        <a:prstGeom prst="rect">
          <a:avLst/>
        </a:prstGeom>
      </xdr:spPr>
    </xdr:pic>
    <xdr:clientData/>
  </xdr:oneCellAnchor>
  <xdr:oneCellAnchor>
    <xdr:from>
      <xdr:col>24</xdr:col>
      <xdr:colOff>763651</xdr:colOff>
      <xdr:row>87</xdr:row>
      <xdr:rowOff>54863</xdr:rowOff>
    </xdr:from>
    <xdr:ext cx="846277" cy="439038"/>
    <xdr:pic>
      <xdr:nvPicPr>
        <xdr:cNvPr id="6" name="image7.jpeg">
          <a:extLst>
            <a:ext uri="{FF2B5EF4-FFF2-40B4-BE49-F238E27FC236}">
              <a16:creationId xmlns:a16="http://schemas.microsoft.com/office/drawing/2014/main" id="{8CFFB198-31C8-45BE-9A58-ADB62333B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5" y="15123413"/>
          <a:ext cx="846277" cy="439038"/>
        </a:xfrm>
        <a:prstGeom prst="rect">
          <a:avLst/>
        </a:prstGeom>
      </xdr:spPr>
    </xdr:pic>
    <xdr:clientData/>
  </xdr:oneCellAnchor>
  <xdr:oneCellAnchor>
    <xdr:from>
      <xdr:col>6</xdr:col>
      <xdr:colOff>895350</xdr:colOff>
      <xdr:row>87</xdr:row>
      <xdr:rowOff>34086</xdr:rowOff>
    </xdr:from>
    <xdr:ext cx="734229" cy="411429"/>
    <xdr:pic>
      <xdr:nvPicPr>
        <xdr:cNvPr id="7" name="image8.jpeg">
          <a:extLst>
            <a:ext uri="{FF2B5EF4-FFF2-40B4-BE49-F238E27FC236}">
              <a16:creationId xmlns:a16="http://schemas.microsoft.com/office/drawing/2014/main" id="{46D5CFC9-1B4E-4F1F-BC6F-BAFC88AC5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5102636"/>
          <a:ext cx="734229" cy="411429"/>
        </a:xfrm>
        <a:prstGeom prst="rect">
          <a:avLst/>
        </a:prstGeom>
      </xdr:spPr>
    </xdr:pic>
    <xdr:clientData/>
  </xdr:oneCellAnchor>
  <xdr:oneCellAnchor>
    <xdr:from>
      <xdr:col>7</xdr:col>
      <xdr:colOff>386714</xdr:colOff>
      <xdr:row>168</xdr:row>
      <xdr:rowOff>30163</xdr:rowOff>
    </xdr:from>
    <xdr:ext cx="466953" cy="405160"/>
    <xdr:pic>
      <xdr:nvPicPr>
        <xdr:cNvPr id="8" name="image9.jpeg">
          <a:extLst>
            <a:ext uri="{FF2B5EF4-FFF2-40B4-BE49-F238E27FC236}">
              <a16:creationId xmlns:a16="http://schemas.microsoft.com/office/drawing/2014/main" id="{374D1CED-B7EF-48E4-A20C-9C3B53CF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29767213"/>
          <a:ext cx="466953" cy="405160"/>
        </a:xfrm>
        <a:prstGeom prst="rect">
          <a:avLst/>
        </a:prstGeom>
      </xdr:spPr>
    </xdr:pic>
    <xdr:clientData/>
  </xdr:oneCellAnchor>
  <xdr:oneCellAnchor>
    <xdr:from>
      <xdr:col>21</xdr:col>
      <xdr:colOff>220726</xdr:colOff>
      <xdr:row>142</xdr:row>
      <xdr:rowOff>7238</xdr:rowOff>
    </xdr:from>
    <xdr:ext cx="846277" cy="439038"/>
    <xdr:pic>
      <xdr:nvPicPr>
        <xdr:cNvPr id="9" name="image7.jpeg">
          <a:extLst>
            <a:ext uri="{FF2B5EF4-FFF2-40B4-BE49-F238E27FC236}">
              <a16:creationId xmlns:a16="http://schemas.microsoft.com/office/drawing/2014/main" id="{6009B461-9F26-4C9E-BD3E-B24DAA482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5" y="25277063"/>
          <a:ext cx="846277" cy="439038"/>
        </a:xfrm>
        <a:prstGeom prst="rect">
          <a:avLst/>
        </a:prstGeom>
      </xdr:spPr>
    </xdr:pic>
    <xdr:clientData/>
  </xdr:oneCellAnchor>
  <xdr:oneCellAnchor>
    <xdr:from>
      <xdr:col>7</xdr:col>
      <xdr:colOff>310007</xdr:colOff>
      <xdr:row>142</xdr:row>
      <xdr:rowOff>24560</xdr:rowOff>
    </xdr:from>
    <xdr:ext cx="734229" cy="411429"/>
    <xdr:pic>
      <xdr:nvPicPr>
        <xdr:cNvPr id="10" name="image8.jpeg">
          <a:extLst>
            <a:ext uri="{FF2B5EF4-FFF2-40B4-BE49-F238E27FC236}">
              <a16:creationId xmlns:a16="http://schemas.microsoft.com/office/drawing/2014/main" id="{B96C6B14-37EB-4377-9D67-B9B39E894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25294385"/>
          <a:ext cx="734229" cy="4114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0</xdr:row>
      <xdr:rowOff>38100</xdr:rowOff>
    </xdr:from>
    <xdr:to>
      <xdr:col>11</xdr:col>
      <xdr:colOff>590141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E91DA-7A77-4F96-851F-2055CD328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38100"/>
          <a:ext cx="1818866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2"/>
  <sheetViews>
    <sheetView topLeftCell="A6" workbookViewId="0">
      <selection activeCell="I22" sqref="I22"/>
    </sheetView>
  </sheetViews>
  <sheetFormatPr defaultRowHeight="15"/>
  <cols>
    <col min="2" max="5" width="9.140625" style="4"/>
    <col min="6" max="6" width="7.140625" style="15" bestFit="1" customWidth="1"/>
    <col min="8" max="8" width="3.28515625" customWidth="1"/>
    <col min="14" max="14" width="7.140625" bestFit="1" customWidth="1"/>
    <col min="16" max="16" width="2.7109375" customWidth="1"/>
    <col min="22" max="22" width="7.140625" bestFit="1" customWidth="1"/>
  </cols>
  <sheetData>
    <row r="2" spans="1:22">
      <c r="A2" t="s">
        <v>1</v>
      </c>
      <c r="C2" s="173" t="s">
        <v>2</v>
      </c>
      <c r="D2" s="173"/>
    </row>
    <row r="6" spans="1:22">
      <c r="A6" s="174" t="s">
        <v>0</v>
      </c>
      <c r="B6" s="174"/>
      <c r="C6" s="174"/>
      <c r="D6" s="174"/>
      <c r="E6" s="174"/>
      <c r="F6" s="174"/>
      <c r="I6" s="174" t="s">
        <v>37</v>
      </c>
      <c r="J6" s="174"/>
      <c r="K6" s="174"/>
      <c r="L6" s="174"/>
      <c r="M6" s="174"/>
      <c r="N6" s="174"/>
      <c r="Q6" s="174" t="s">
        <v>38</v>
      </c>
      <c r="R6" s="174"/>
      <c r="S6" s="174"/>
      <c r="T6" s="174"/>
      <c r="U6" s="174"/>
      <c r="V6" s="174"/>
    </row>
    <row r="7" spans="1:22" ht="15.75" thickBot="1">
      <c r="A7" s="1"/>
      <c r="B7" s="1"/>
      <c r="C7" s="1"/>
      <c r="D7" s="1"/>
      <c r="E7" s="1"/>
      <c r="F7" s="1"/>
      <c r="I7" s="1"/>
      <c r="J7" s="1"/>
      <c r="K7" s="1"/>
      <c r="L7" s="1"/>
      <c r="M7" s="1"/>
      <c r="N7" s="1"/>
      <c r="Q7" s="1"/>
      <c r="R7" s="1"/>
      <c r="S7" s="1"/>
      <c r="T7" s="1"/>
      <c r="U7" s="1"/>
      <c r="V7" s="1"/>
    </row>
    <row r="8" spans="1:22">
      <c r="A8" s="1"/>
      <c r="B8" s="24" t="s">
        <v>18</v>
      </c>
      <c r="C8" s="25" t="s">
        <v>4</v>
      </c>
      <c r="D8" s="25" t="s">
        <v>19</v>
      </c>
      <c r="E8" s="26" t="s">
        <v>9</v>
      </c>
      <c r="F8" s="17"/>
      <c r="I8" s="1"/>
      <c r="J8" s="24" t="s">
        <v>18</v>
      </c>
      <c r="K8" s="25" t="s">
        <v>4</v>
      </c>
      <c r="L8" s="25" t="s">
        <v>19</v>
      </c>
      <c r="M8" s="26" t="s">
        <v>9</v>
      </c>
      <c r="N8" s="17"/>
      <c r="Q8" s="1"/>
      <c r="R8" s="24" t="s">
        <v>18</v>
      </c>
      <c r="S8" s="25" t="s">
        <v>4</v>
      </c>
      <c r="T8" s="25" t="s">
        <v>19</v>
      </c>
      <c r="U8" s="26" t="s">
        <v>9</v>
      </c>
      <c r="V8" s="17"/>
    </row>
    <row r="9" spans="1:22">
      <c r="A9" s="1"/>
      <c r="B9" s="27" t="s">
        <v>16</v>
      </c>
      <c r="C9" s="5" t="s">
        <v>4</v>
      </c>
      <c r="D9" s="5" t="s">
        <v>17</v>
      </c>
      <c r="E9" s="16" t="s">
        <v>9</v>
      </c>
      <c r="F9" s="18"/>
      <c r="I9" s="1"/>
      <c r="J9" s="27" t="s">
        <v>16</v>
      </c>
      <c r="K9" s="5" t="s">
        <v>4</v>
      </c>
      <c r="L9" s="5" t="s">
        <v>17</v>
      </c>
      <c r="M9" s="16" t="s">
        <v>9</v>
      </c>
      <c r="N9" s="18"/>
      <c r="Q9" s="1"/>
      <c r="R9" s="27" t="s">
        <v>16</v>
      </c>
      <c r="S9" s="5" t="s">
        <v>4</v>
      </c>
      <c r="T9" s="5" t="s">
        <v>17</v>
      </c>
      <c r="U9" s="16" t="s">
        <v>9</v>
      </c>
      <c r="V9" s="18"/>
    </row>
    <row r="10" spans="1:22">
      <c r="A10" s="1"/>
      <c r="B10" s="28" t="s">
        <v>14</v>
      </c>
      <c r="C10" s="7" t="s">
        <v>4</v>
      </c>
      <c r="D10" s="7" t="s">
        <v>15</v>
      </c>
      <c r="E10" s="16" t="s">
        <v>9</v>
      </c>
      <c r="F10" s="18"/>
      <c r="I10" s="1"/>
      <c r="J10" s="28" t="s">
        <v>14</v>
      </c>
      <c r="K10" s="7" t="s">
        <v>4</v>
      </c>
      <c r="L10" s="7" t="s">
        <v>15</v>
      </c>
      <c r="M10" s="16" t="s">
        <v>9</v>
      </c>
      <c r="N10" s="18"/>
      <c r="Q10" s="1"/>
      <c r="R10" s="28" t="s">
        <v>14</v>
      </c>
      <c r="S10" s="7" t="s">
        <v>4</v>
      </c>
      <c r="T10" s="7" t="s">
        <v>15</v>
      </c>
      <c r="U10" s="16" t="s">
        <v>9</v>
      </c>
      <c r="V10" s="18"/>
    </row>
    <row r="11" spans="1:22">
      <c r="A11" s="22"/>
      <c r="B11" s="27" t="s">
        <v>12</v>
      </c>
      <c r="C11" s="5" t="s">
        <v>4</v>
      </c>
      <c r="D11" s="5" t="s">
        <v>13</v>
      </c>
      <c r="E11" s="16" t="s">
        <v>9</v>
      </c>
      <c r="F11" s="19"/>
      <c r="I11" s="22"/>
      <c r="J11" s="27" t="s">
        <v>12</v>
      </c>
      <c r="K11" s="5" t="s">
        <v>4</v>
      </c>
      <c r="L11" s="5" t="s">
        <v>13</v>
      </c>
      <c r="M11" s="16" t="s">
        <v>9</v>
      </c>
      <c r="N11" s="19"/>
      <c r="Q11" s="22"/>
      <c r="R11" s="27" t="s">
        <v>12</v>
      </c>
      <c r="S11" s="5" t="s">
        <v>4</v>
      </c>
      <c r="T11" s="5" t="s">
        <v>13</v>
      </c>
      <c r="U11" s="16" t="s">
        <v>9</v>
      </c>
      <c r="V11" s="19"/>
    </row>
    <row r="12" spans="1:22">
      <c r="B12" s="29" t="s">
        <v>10</v>
      </c>
      <c r="C12" s="6" t="s">
        <v>4</v>
      </c>
      <c r="D12" s="6" t="s">
        <v>11</v>
      </c>
      <c r="E12" s="16" t="s">
        <v>9</v>
      </c>
      <c r="F12" s="20"/>
      <c r="J12" s="29" t="s">
        <v>10</v>
      </c>
      <c r="K12" s="6" t="s">
        <v>4</v>
      </c>
      <c r="L12" s="6" t="s">
        <v>11</v>
      </c>
      <c r="M12" s="16" t="s">
        <v>9</v>
      </c>
      <c r="N12" s="20"/>
      <c r="R12" s="29" t="s">
        <v>10</v>
      </c>
      <c r="S12" s="6" t="s">
        <v>4</v>
      </c>
      <c r="T12" s="6" t="s">
        <v>11</v>
      </c>
      <c r="U12" s="16" t="s">
        <v>9</v>
      </c>
      <c r="V12" s="20"/>
    </row>
    <row r="13" spans="1:22" ht="15.75" thickBot="1">
      <c r="B13" s="27" t="s">
        <v>3</v>
      </c>
      <c r="C13" s="5" t="s">
        <v>4</v>
      </c>
      <c r="D13" s="5" t="s">
        <v>5</v>
      </c>
      <c r="E13" s="16" t="s">
        <v>9</v>
      </c>
      <c r="F13" s="21"/>
      <c r="J13" s="27" t="s">
        <v>3</v>
      </c>
      <c r="K13" s="5" t="s">
        <v>4</v>
      </c>
      <c r="L13" s="5" t="s">
        <v>5</v>
      </c>
      <c r="M13" s="16" t="s">
        <v>9</v>
      </c>
      <c r="N13" s="21"/>
      <c r="R13" s="27" t="s">
        <v>3</v>
      </c>
      <c r="S13" s="5" t="s">
        <v>4</v>
      </c>
      <c r="T13" s="5" t="s">
        <v>5</v>
      </c>
      <c r="U13" s="16" t="s">
        <v>9</v>
      </c>
      <c r="V13" s="21"/>
    </row>
    <row r="14" spans="1:22">
      <c r="B14" s="27" t="s">
        <v>6</v>
      </c>
      <c r="C14" s="5" t="s">
        <v>7</v>
      </c>
      <c r="D14" s="5" t="s">
        <v>8</v>
      </c>
      <c r="E14" s="5" t="s">
        <v>9</v>
      </c>
      <c r="F14" s="30" t="s">
        <v>36</v>
      </c>
      <c r="J14" s="27" t="s">
        <v>6</v>
      </c>
      <c r="K14" s="5" t="s">
        <v>7</v>
      </c>
      <c r="L14" s="5" t="s">
        <v>8</v>
      </c>
      <c r="M14" s="5" t="s">
        <v>9</v>
      </c>
      <c r="N14" s="30" t="s">
        <v>36</v>
      </c>
      <c r="R14" s="27" t="s">
        <v>6</v>
      </c>
      <c r="S14" s="5" t="s">
        <v>7</v>
      </c>
      <c r="T14" s="5" t="s">
        <v>8</v>
      </c>
      <c r="U14" s="5" t="s">
        <v>9</v>
      </c>
      <c r="V14" s="30" t="s">
        <v>36</v>
      </c>
    </row>
    <row r="15" spans="1:22">
      <c r="A15" t="s">
        <v>20</v>
      </c>
      <c r="B15" s="27"/>
      <c r="C15" s="5"/>
      <c r="D15" s="5"/>
      <c r="E15" s="5"/>
      <c r="F15" s="31">
        <f t="shared" ref="F15:F41" si="0">(E16-D16)/E16</f>
        <v>0.25</v>
      </c>
      <c r="I15" t="s">
        <v>20</v>
      </c>
      <c r="J15" s="27"/>
      <c r="K15" s="5"/>
      <c r="L15" s="5"/>
      <c r="M15" s="5"/>
      <c r="N15" s="31"/>
      <c r="Q15" t="s">
        <v>20</v>
      </c>
      <c r="R15" s="27"/>
      <c r="S15" s="5"/>
      <c r="T15" s="5"/>
      <c r="U15" s="5"/>
      <c r="V15" s="31"/>
    </row>
    <row r="16" spans="1:22">
      <c r="A16">
        <v>25</v>
      </c>
      <c r="B16" s="27">
        <v>19.100000000000001</v>
      </c>
      <c r="C16" s="32">
        <v>0</v>
      </c>
      <c r="D16" s="5">
        <f>B16</f>
        <v>19.100000000000001</v>
      </c>
      <c r="E16" s="5">
        <f>D16/0.75</f>
        <v>25.466666666666669</v>
      </c>
      <c r="F16" s="31">
        <f t="shared" si="0"/>
        <v>0.24999999999999997</v>
      </c>
      <c r="I16">
        <v>25</v>
      </c>
      <c r="J16" s="27"/>
      <c r="K16" s="32"/>
      <c r="L16" s="5"/>
      <c r="M16" s="5"/>
      <c r="N16" s="31"/>
      <c r="Q16">
        <v>25</v>
      </c>
      <c r="R16" s="27"/>
      <c r="S16" s="32"/>
      <c r="T16" s="5"/>
      <c r="U16" s="5"/>
      <c r="V16" s="31"/>
    </row>
    <row r="17" spans="1:22">
      <c r="A17">
        <v>32</v>
      </c>
      <c r="B17" s="27">
        <v>19.100000000000001</v>
      </c>
      <c r="C17" s="5">
        <v>12.85</v>
      </c>
      <c r="D17" s="5">
        <f>C17+B17/2</f>
        <v>22.4</v>
      </c>
      <c r="E17" s="5">
        <f t="shared" ref="E17:E42" si="1">D17/0.75</f>
        <v>29.866666666666664</v>
      </c>
      <c r="F17" s="31">
        <f t="shared" si="0"/>
        <v>0.24999999999999997</v>
      </c>
      <c r="I17">
        <v>32</v>
      </c>
      <c r="J17" s="27"/>
      <c r="K17" s="5"/>
      <c r="L17" s="5"/>
      <c r="M17" s="5"/>
      <c r="N17" s="31"/>
      <c r="Q17">
        <v>32</v>
      </c>
      <c r="R17" s="27"/>
      <c r="S17" s="5"/>
      <c r="T17" s="5"/>
      <c r="U17" s="5"/>
      <c r="V17" s="31"/>
    </row>
    <row r="18" spans="1:22">
      <c r="A18">
        <v>40</v>
      </c>
      <c r="B18" s="27">
        <v>19.66</v>
      </c>
      <c r="C18" s="5">
        <v>12.85</v>
      </c>
      <c r="D18" s="5">
        <f t="shared" ref="D18:D41" si="2">C18+B18/2</f>
        <v>22.68</v>
      </c>
      <c r="E18" s="5">
        <f t="shared" si="1"/>
        <v>30.24</v>
      </c>
      <c r="F18" s="31">
        <f t="shared" si="0"/>
        <v>0.25</v>
      </c>
      <c r="I18">
        <v>40</v>
      </c>
      <c r="J18" s="27"/>
      <c r="K18" s="5"/>
      <c r="L18" s="5"/>
      <c r="M18" s="5"/>
      <c r="N18" s="31"/>
      <c r="Q18">
        <v>40</v>
      </c>
      <c r="R18" s="27"/>
      <c r="S18" s="5"/>
      <c r="T18" s="5"/>
      <c r="U18" s="5"/>
      <c r="V18" s="31"/>
    </row>
    <row r="19" spans="1:22">
      <c r="A19">
        <v>50</v>
      </c>
      <c r="B19" s="27">
        <v>20.100000000000001</v>
      </c>
      <c r="C19" s="5">
        <v>12.85</v>
      </c>
      <c r="D19" s="5">
        <f t="shared" si="2"/>
        <v>22.9</v>
      </c>
      <c r="E19" s="5">
        <f t="shared" si="1"/>
        <v>30.533333333333331</v>
      </c>
      <c r="F19" s="31">
        <f t="shared" si="0"/>
        <v>0.25</v>
      </c>
      <c r="I19">
        <v>50</v>
      </c>
      <c r="J19" s="27"/>
      <c r="K19" s="5"/>
      <c r="L19" s="5"/>
      <c r="M19" s="5"/>
      <c r="N19" s="31"/>
      <c r="Q19">
        <v>50</v>
      </c>
      <c r="R19" s="27">
        <v>19.309999999999999</v>
      </c>
      <c r="S19" s="5">
        <v>13.85</v>
      </c>
      <c r="T19" s="5">
        <f t="shared" ref="T19:T32" si="3">S19+R19/2</f>
        <v>23.504999999999999</v>
      </c>
      <c r="U19" s="5">
        <f>T19/0.75</f>
        <v>31.34</v>
      </c>
      <c r="V19" s="31">
        <f>(U19-T19)/U19</f>
        <v>0.25000000000000006</v>
      </c>
    </row>
    <row r="20" spans="1:22">
      <c r="A20">
        <v>63</v>
      </c>
      <c r="B20" s="27">
        <v>20.47</v>
      </c>
      <c r="C20" s="5">
        <v>15.85</v>
      </c>
      <c r="D20" s="5">
        <f t="shared" si="2"/>
        <v>26.085000000000001</v>
      </c>
      <c r="E20" s="5">
        <f t="shared" si="1"/>
        <v>34.78</v>
      </c>
      <c r="F20" s="31">
        <f t="shared" si="0"/>
        <v>0.25000000000000006</v>
      </c>
      <c r="I20">
        <v>63</v>
      </c>
      <c r="J20" s="27"/>
      <c r="K20" s="5"/>
      <c r="L20" s="5"/>
      <c r="M20" s="5"/>
      <c r="N20" s="31"/>
      <c r="Q20">
        <v>63</v>
      </c>
      <c r="R20" s="27">
        <v>23.17</v>
      </c>
      <c r="S20" s="5">
        <v>17.850000000000001</v>
      </c>
      <c r="T20" s="5">
        <f t="shared" si="3"/>
        <v>29.435000000000002</v>
      </c>
      <c r="U20" s="5">
        <f t="shared" ref="U20:U32" si="4">T20/0.75</f>
        <v>39.24666666666667</v>
      </c>
      <c r="V20" s="31">
        <f>(U20-T20)/U20</f>
        <v>0.25</v>
      </c>
    </row>
    <row r="21" spans="1:22">
      <c r="A21">
        <v>75</v>
      </c>
      <c r="B21" s="27">
        <v>24.38</v>
      </c>
      <c r="C21" s="5">
        <v>17.850000000000001</v>
      </c>
      <c r="D21" s="5">
        <f t="shared" si="2"/>
        <v>30.04</v>
      </c>
      <c r="E21" s="5">
        <f t="shared" si="1"/>
        <v>40.053333333333335</v>
      </c>
      <c r="F21" s="31">
        <f t="shared" si="0"/>
        <v>0.24999999999999997</v>
      </c>
      <c r="I21">
        <v>75</v>
      </c>
      <c r="J21" s="27"/>
      <c r="K21" s="5">
        <v>19.850000000000001</v>
      </c>
      <c r="L21" s="5">
        <f t="shared" ref="L21:L32" si="5">K21+J21/2</f>
        <v>19.850000000000001</v>
      </c>
      <c r="M21" s="5">
        <f>L21/0.75</f>
        <v>26.466666666666669</v>
      </c>
      <c r="N21" s="31">
        <f>(M21-L21)/M21</f>
        <v>0.25</v>
      </c>
      <c r="Q21">
        <v>75</v>
      </c>
      <c r="R21" s="27">
        <v>25.35</v>
      </c>
      <c r="S21" s="5">
        <v>18.850000000000001</v>
      </c>
      <c r="T21" s="5">
        <f t="shared" si="3"/>
        <v>31.525000000000002</v>
      </c>
      <c r="U21" s="5">
        <f t="shared" si="4"/>
        <v>42.033333333333339</v>
      </c>
      <c r="V21" s="31">
        <f>(U21-T21)/U21</f>
        <v>0.25000000000000006</v>
      </c>
    </row>
    <row r="22" spans="1:22">
      <c r="A22">
        <v>90</v>
      </c>
      <c r="B22" s="27">
        <v>28.58</v>
      </c>
      <c r="C22" s="5">
        <v>20.85</v>
      </c>
      <c r="D22" s="5">
        <f t="shared" si="2"/>
        <v>35.14</v>
      </c>
      <c r="E22" s="5">
        <f t="shared" si="1"/>
        <v>46.853333333333332</v>
      </c>
      <c r="F22" s="31">
        <f t="shared" si="0"/>
        <v>0.24999999999999997</v>
      </c>
      <c r="I22">
        <v>90</v>
      </c>
      <c r="J22" s="27"/>
      <c r="K22" s="5">
        <v>25.85</v>
      </c>
      <c r="L22" s="5">
        <f t="shared" si="5"/>
        <v>25.85</v>
      </c>
      <c r="M22" s="5">
        <f t="shared" ref="M22:M32" si="6">L22/0.75</f>
        <v>34.466666666666669</v>
      </c>
      <c r="N22" s="31">
        <f t="shared" ref="N22:N32" si="7">(M22-L22)/M22</f>
        <v>0.25</v>
      </c>
      <c r="Q22">
        <v>90</v>
      </c>
      <c r="R22" s="27">
        <v>27.77</v>
      </c>
      <c r="S22" s="5">
        <v>20.85</v>
      </c>
      <c r="T22" s="5">
        <f t="shared" si="3"/>
        <v>34.734999999999999</v>
      </c>
      <c r="U22" s="5">
        <f t="shared" si="4"/>
        <v>46.313333333333333</v>
      </c>
      <c r="V22" s="31">
        <f t="shared" ref="V22:V32" si="8">(U22-T22)/U22</f>
        <v>0.25</v>
      </c>
    </row>
    <row r="23" spans="1:22">
      <c r="A23">
        <v>110</v>
      </c>
      <c r="B23" s="27">
        <v>36.65</v>
      </c>
      <c r="C23" s="5">
        <v>26.85</v>
      </c>
      <c r="D23" s="5">
        <f t="shared" si="2"/>
        <v>45.174999999999997</v>
      </c>
      <c r="E23" s="5">
        <f t="shared" si="1"/>
        <v>60.233333333333327</v>
      </c>
      <c r="F23" s="31">
        <f t="shared" si="0"/>
        <v>0.25000000000000006</v>
      </c>
      <c r="I23">
        <v>110</v>
      </c>
      <c r="J23" s="27">
        <v>42</v>
      </c>
      <c r="K23" s="5">
        <v>30.85</v>
      </c>
      <c r="L23" s="5">
        <f t="shared" si="5"/>
        <v>51.85</v>
      </c>
      <c r="M23" s="5">
        <f t="shared" si="6"/>
        <v>69.13333333333334</v>
      </c>
      <c r="N23" s="31">
        <f t="shared" si="7"/>
        <v>0.25000000000000006</v>
      </c>
      <c r="Q23">
        <v>110</v>
      </c>
      <c r="R23" s="27">
        <v>35.43</v>
      </c>
      <c r="S23" s="5">
        <v>25.85</v>
      </c>
      <c r="T23" s="5">
        <f t="shared" si="3"/>
        <v>43.564999999999998</v>
      </c>
      <c r="U23" s="5">
        <f t="shared" si="4"/>
        <v>58.086666666666666</v>
      </c>
      <c r="V23" s="31">
        <f t="shared" si="8"/>
        <v>0.25000000000000006</v>
      </c>
    </row>
    <row r="24" spans="1:22">
      <c r="A24">
        <v>125</v>
      </c>
      <c r="B24" s="27">
        <v>38.54</v>
      </c>
      <c r="C24" s="5">
        <v>28.85</v>
      </c>
      <c r="D24" s="5">
        <f t="shared" si="2"/>
        <v>48.120000000000005</v>
      </c>
      <c r="E24" s="5">
        <f t="shared" si="1"/>
        <v>64.160000000000011</v>
      </c>
      <c r="F24" s="31">
        <f t="shared" si="0"/>
        <v>0.25000000000000006</v>
      </c>
      <c r="I24">
        <v>125</v>
      </c>
      <c r="J24" s="27">
        <v>51.8</v>
      </c>
      <c r="K24" s="5">
        <v>38.85</v>
      </c>
      <c r="L24" s="5">
        <f t="shared" si="5"/>
        <v>64.75</v>
      </c>
      <c r="M24" s="5">
        <f t="shared" si="6"/>
        <v>86.333333333333329</v>
      </c>
      <c r="N24" s="31">
        <f t="shared" si="7"/>
        <v>0.24999999999999997</v>
      </c>
      <c r="Q24">
        <v>125</v>
      </c>
      <c r="R24" s="27">
        <v>38.1</v>
      </c>
      <c r="S24" s="5">
        <v>27.85</v>
      </c>
      <c r="T24" s="5">
        <f t="shared" si="3"/>
        <v>46.900000000000006</v>
      </c>
      <c r="U24" s="5">
        <f t="shared" si="4"/>
        <v>62.533333333333339</v>
      </c>
      <c r="V24" s="31">
        <f t="shared" si="8"/>
        <v>0.24999999999999997</v>
      </c>
    </row>
    <row r="25" spans="1:22">
      <c r="A25">
        <v>140</v>
      </c>
      <c r="B25" s="27">
        <v>52.87</v>
      </c>
      <c r="C25" s="5">
        <v>38.85</v>
      </c>
      <c r="D25" s="5">
        <f t="shared" si="2"/>
        <v>65.284999999999997</v>
      </c>
      <c r="E25" s="5">
        <f t="shared" si="1"/>
        <v>87.046666666666667</v>
      </c>
      <c r="F25" s="31">
        <f t="shared" si="0"/>
        <v>0.25</v>
      </c>
      <c r="I25">
        <v>140</v>
      </c>
      <c r="J25" s="27">
        <v>58</v>
      </c>
      <c r="K25" s="5">
        <v>41.85</v>
      </c>
      <c r="L25" s="5">
        <f t="shared" si="5"/>
        <v>70.849999999999994</v>
      </c>
      <c r="M25" s="5">
        <f t="shared" si="6"/>
        <v>94.466666666666654</v>
      </c>
      <c r="N25" s="31">
        <f t="shared" si="7"/>
        <v>0.24999999999999997</v>
      </c>
      <c r="Q25">
        <v>140</v>
      </c>
      <c r="R25" s="27">
        <v>45.35</v>
      </c>
      <c r="S25" s="5">
        <v>33.85</v>
      </c>
      <c r="T25" s="5">
        <f t="shared" si="3"/>
        <v>56.525000000000006</v>
      </c>
      <c r="U25" s="5">
        <f t="shared" si="4"/>
        <v>75.366666666666674</v>
      </c>
      <c r="V25" s="31">
        <f t="shared" si="8"/>
        <v>0.25</v>
      </c>
    </row>
    <row r="26" spans="1:22">
      <c r="A26">
        <v>160</v>
      </c>
      <c r="B26" s="27">
        <v>68</v>
      </c>
      <c r="C26" s="5">
        <v>50.85</v>
      </c>
      <c r="D26" s="5">
        <f t="shared" si="2"/>
        <v>84.85</v>
      </c>
      <c r="E26" s="5">
        <f t="shared" si="1"/>
        <v>113.13333333333333</v>
      </c>
      <c r="F26" s="31">
        <f t="shared" si="0"/>
        <v>0.25</v>
      </c>
      <c r="I26">
        <v>160</v>
      </c>
      <c r="J26" s="27">
        <v>63.75</v>
      </c>
      <c r="K26" s="5">
        <v>47.85</v>
      </c>
      <c r="L26" s="5">
        <f t="shared" si="5"/>
        <v>79.724999999999994</v>
      </c>
      <c r="M26" s="5">
        <f t="shared" si="6"/>
        <v>106.3</v>
      </c>
      <c r="N26" s="31">
        <f t="shared" si="7"/>
        <v>0.25000000000000006</v>
      </c>
      <c r="Q26">
        <v>160</v>
      </c>
      <c r="R26" s="27">
        <v>51.96</v>
      </c>
      <c r="S26" s="5">
        <v>38.85</v>
      </c>
      <c r="T26" s="5">
        <f t="shared" si="3"/>
        <v>64.83</v>
      </c>
      <c r="U26" s="5">
        <f t="shared" si="4"/>
        <v>86.44</v>
      </c>
      <c r="V26" s="31">
        <f t="shared" si="8"/>
        <v>0.25</v>
      </c>
    </row>
    <row r="27" spans="1:22">
      <c r="A27">
        <v>180</v>
      </c>
      <c r="B27" s="27">
        <v>69.16</v>
      </c>
      <c r="C27" s="5">
        <v>51.85</v>
      </c>
      <c r="D27" s="5">
        <f t="shared" si="2"/>
        <v>86.43</v>
      </c>
      <c r="E27" s="5">
        <f t="shared" si="1"/>
        <v>115.24000000000001</v>
      </c>
      <c r="F27" s="31">
        <f t="shared" si="0"/>
        <v>0.25000000000000006</v>
      </c>
      <c r="I27">
        <v>180</v>
      </c>
      <c r="J27" s="27">
        <v>72.17</v>
      </c>
      <c r="K27" s="5">
        <v>53.85</v>
      </c>
      <c r="L27" s="5">
        <f t="shared" si="5"/>
        <v>89.935000000000002</v>
      </c>
      <c r="M27" s="5">
        <f t="shared" si="6"/>
        <v>119.91333333333334</v>
      </c>
      <c r="N27" s="31">
        <f t="shared" si="7"/>
        <v>0.25000000000000006</v>
      </c>
      <c r="Q27">
        <v>180</v>
      </c>
      <c r="R27" s="27">
        <v>58.14</v>
      </c>
      <c r="S27" s="5">
        <v>43.85</v>
      </c>
      <c r="T27" s="5">
        <f t="shared" si="3"/>
        <v>72.92</v>
      </c>
      <c r="U27" s="5">
        <f t="shared" si="4"/>
        <v>97.226666666666674</v>
      </c>
      <c r="V27" s="31">
        <f t="shared" si="8"/>
        <v>0.25000000000000006</v>
      </c>
    </row>
    <row r="28" spans="1:22">
      <c r="A28">
        <v>200</v>
      </c>
      <c r="B28" s="27">
        <v>83.25</v>
      </c>
      <c r="C28" s="5">
        <v>61.85</v>
      </c>
      <c r="D28" s="5">
        <f t="shared" si="2"/>
        <v>103.47499999999999</v>
      </c>
      <c r="E28" s="5">
        <f t="shared" si="1"/>
        <v>137.96666666666667</v>
      </c>
      <c r="F28" s="31">
        <f t="shared" si="0"/>
        <v>0.25</v>
      </c>
      <c r="I28">
        <v>200</v>
      </c>
      <c r="J28" s="27">
        <v>95.43</v>
      </c>
      <c r="K28" s="5">
        <v>64.849999999999994</v>
      </c>
      <c r="L28" s="5">
        <f t="shared" si="5"/>
        <v>112.565</v>
      </c>
      <c r="M28" s="5">
        <f t="shared" si="6"/>
        <v>150.08666666666667</v>
      </c>
      <c r="N28" s="31">
        <f t="shared" si="7"/>
        <v>0.25000000000000006</v>
      </c>
      <c r="Q28">
        <v>200</v>
      </c>
      <c r="R28" s="27">
        <v>83.9</v>
      </c>
      <c r="S28" s="5">
        <v>62.85</v>
      </c>
      <c r="T28" s="5">
        <f t="shared" si="3"/>
        <v>104.80000000000001</v>
      </c>
      <c r="U28" s="5">
        <f t="shared" si="4"/>
        <v>139.73333333333335</v>
      </c>
      <c r="V28" s="31">
        <f t="shared" si="8"/>
        <v>0.25</v>
      </c>
    </row>
    <row r="29" spans="1:22">
      <c r="A29">
        <v>225</v>
      </c>
      <c r="B29" s="27">
        <v>89.1</v>
      </c>
      <c r="C29" s="5">
        <v>65.849999999999994</v>
      </c>
      <c r="D29" s="5">
        <f t="shared" si="2"/>
        <v>110.39999999999999</v>
      </c>
      <c r="E29" s="5">
        <f t="shared" si="1"/>
        <v>147.19999999999999</v>
      </c>
      <c r="F29" s="31">
        <f t="shared" si="0"/>
        <v>0.24999999999999997</v>
      </c>
      <c r="I29">
        <v>225</v>
      </c>
      <c r="J29" s="27">
        <v>106.98</v>
      </c>
      <c r="K29" s="5">
        <v>70.849999999999994</v>
      </c>
      <c r="L29" s="5">
        <f t="shared" si="5"/>
        <v>124.34</v>
      </c>
      <c r="M29" s="5">
        <f t="shared" si="6"/>
        <v>165.78666666666666</v>
      </c>
      <c r="N29" s="31">
        <f t="shared" si="7"/>
        <v>0.24999999999999994</v>
      </c>
      <c r="Q29">
        <v>225</v>
      </c>
      <c r="R29" s="27">
        <v>106.98</v>
      </c>
      <c r="S29" s="5">
        <v>77.849999999999994</v>
      </c>
      <c r="T29" s="5">
        <f t="shared" si="3"/>
        <v>131.34</v>
      </c>
      <c r="U29" s="5">
        <f t="shared" si="4"/>
        <v>175.12</v>
      </c>
      <c r="V29" s="31">
        <f t="shared" si="8"/>
        <v>0.25</v>
      </c>
    </row>
    <row r="30" spans="1:22">
      <c r="A30">
        <v>250</v>
      </c>
      <c r="B30" s="27">
        <v>121.2</v>
      </c>
      <c r="C30" s="5">
        <v>90.85</v>
      </c>
      <c r="D30" s="5">
        <f t="shared" si="2"/>
        <v>151.44999999999999</v>
      </c>
      <c r="E30" s="5">
        <f t="shared" si="1"/>
        <v>201.93333333333331</v>
      </c>
      <c r="F30" s="31">
        <f t="shared" si="0"/>
        <v>0.24999999999999997</v>
      </c>
      <c r="I30">
        <v>250</v>
      </c>
      <c r="J30" s="27">
        <v>114.02</v>
      </c>
      <c r="K30" s="5">
        <v>77.849999999999994</v>
      </c>
      <c r="L30" s="5">
        <f t="shared" si="5"/>
        <v>134.85999999999999</v>
      </c>
      <c r="M30" s="5">
        <f t="shared" si="6"/>
        <v>179.8133333333333</v>
      </c>
      <c r="N30" s="31">
        <f t="shared" si="7"/>
        <v>0.24999999999999997</v>
      </c>
      <c r="Q30">
        <v>250</v>
      </c>
      <c r="R30" s="27">
        <v>111.27</v>
      </c>
      <c r="S30" s="5">
        <v>83.85</v>
      </c>
      <c r="T30" s="5">
        <f t="shared" si="3"/>
        <v>139.48499999999999</v>
      </c>
      <c r="U30" s="5">
        <f t="shared" si="4"/>
        <v>185.98</v>
      </c>
      <c r="V30" s="31">
        <f t="shared" si="8"/>
        <v>0.25000000000000006</v>
      </c>
    </row>
    <row r="31" spans="1:22">
      <c r="A31">
        <v>280</v>
      </c>
      <c r="B31" s="27">
        <v>149.76</v>
      </c>
      <c r="C31" s="5">
        <v>109.85</v>
      </c>
      <c r="D31" s="5">
        <f t="shared" si="2"/>
        <v>184.73</v>
      </c>
      <c r="E31" s="5">
        <f t="shared" si="1"/>
        <v>246.30666666666664</v>
      </c>
      <c r="F31" s="31">
        <f t="shared" si="0"/>
        <v>0.25000000000000006</v>
      </c>
      <c r="I31">
        <v>280</v>
      </c>
      <c r="J31" s="27">
        <v>137.75</v>
      </c>
      <c r="K31" s="5">
        <v>90.85</v>
      </c>
      <c r="L31" s="5">
        <f t="shared" si="5"/>
        <v>159.72499999999999</v>
      </c>
      <c r="M31" s="5">
        <f t="shared" si="6"/>
        <v>212.96666666666667</v>
      </c>
      <c r="N31" s="31">
        <f t="shared" si="7"/>
        <v>0.25000000000000006</v>
      </c>
      <c r="Q31">
        <v>280</v>
      </c>
      <c r="R31" s="27">
        <v>135.1</v>
      </c>
      <c r="S31" s="5">
        <v>99.85</v>
      </c>
      <c r="T31" s="5">
        <f t="shared" si="3"/>
        <v>167.39999999999998</v>
      </c>
      <c r="U31" s="5">
        <f t="shared" si="4"/>
        <v>223.19999999999996</v>
      </c>
      <c r="V31" s="31">
        <f t="shared" si="8"/>
        <v>0.24999999999999997</v>
      </c>
    </row>
    <row r="32" spans="1:22">
      <c r="A32">
        <v>315</v>
      </c>
      <c r="B32" s="27">
        <v>206.85</v>
      </c>
      <c r="C32" s="5">
        <v>155.85</v>
      </c>
      <c r="D32" s="5">
        <f t="shared" si="2"/>
        <v>259.27499999999998</v>
      </c>
      <c r="E32" s="5">
        <f t="shared" si="1"/>
        <v>345.7</v>
      </c>
      <c r="F32" s="31">
        <f t="shared" si="0"/>
        <v>0.24999999999999997</v>
      </c>
      <c r="I32">
        <v>315</v>
      </c>
      <c r="J32" s="27">
        <v>200</v>
      </c>
      <c r="K32" s="5">
        <v>129.85</v>
      </c>
      <c r="L32" s="5">
        <f t="shared" si="5"/>
        <v>229.85</v>
      </c>
      <c r="M32" s="5">
        <f t="shared" si="6"/>
        <v>306.46666666666664</v>
      </c>
      <c r="N32" s="31">
        <f t="shared" si="7"/>
        <v>0.24999999999999994</v>
      </c>
      <c r="Q32">
        <v>315</v>
      </c>
      <c r="R32" s="27">
        <v>0</v>
      </c>
      <c r="S32" s="5">
        <v>149.85</v>
      </c>
      <c r="T32" s="5">
        <f t="shared" si="3"/>
        <v>149.85</v>
      </c>
      <c r="U32" s="5">
        <f t="shared" si="4"/>
        <v>199.79999999999998</v>
      </c>
      <c r="V32" s="31">
        <f t="shared" si="8"/>
        <v>0.24999999999999997</v>
      </c>
    </row>
    <row r="33" spans="1:22">
      <c r="A33">
        <v>355</v>
      </c>
      <c r="B33" s="27">
        <v>271.55</v>
      </c>
      <c r="C33" s="5">
        <v>200.85</v>
      </c>
      <c r="D33" s="5">
        <f t="shared" si="2"/>
        <v>336.625</v>
      </c>
      <c r="E33" s="5">
        <f t="shared" si="1"/>
        <v>448.83333333333331</v>
      </c>
      <c r="F33" s="31">
        <f t="shared" si="0"/>
        <v>0.24999999999999994</v>
      </c>
      <c r="I33">
        <v>355</v>
      </c>
      <c r="J33" s="27"/>
      <c r="K33" s="5"/>
      <c r="L33" s="5"/>
      <c r="M33" s="5"/>
      <c r="N33" s="31"/>
      <c r="Q33">
        <v>355</v>
      </c>
      <c r="R33" s="27"/>
      <c r="S33" s="5"/>
      <c r="T33" s="5"/>
      <c r="U33" s="5"/>
      <c r="V33" s="31"/>
    </row>
    <row r="34" spans="1:22">
      <c r="A34">
        <v>400</v>
      </c>
      <c r="B34" s="27">
        <v>351.2</v>
      </c>
      <c r="C34" s="5">
        <v>265.85000000000002</v>
      </c>
      <c r="D34" s="5">
        <f t="shared" si="2"/>
        <v>441.45000000000005</v>
      </c>
      <c r="E34" s="5">
        <f t="shared" si="1"/>
        <v>588.6</v>
      </c>
      <c r="F34" s="31">
        <f t="shared" si="0"/>
        <v>0.25</v>
      </c>
      <c r="I34">
        <v>400</v>
      </c>
      <c r="J34" s="27"/>
      <c r="K34" s="5"/>
      <c r="L34" s="5"/>
      <c r="M34" s="5"/>
      <c r="N34" s="31"/>
      <c r="Q34">
        <v>400</v>
      </c>
      <c r="R34" s="27"/>
      <c r="S34" s="5"/>
      <c r="T34" s="5"/>
      <c r="U34" s="5"/>
      <c r="V34" s="31"/>
    </row>
    <row r="35" spans="1:22">
      <c r="A35">
        <v>450</v>
      </c>
      <c r="B35" s="27">
        <v>405.4</v>
      </c>
      <c r="C35" s="5">
        <v>304.85000000000002</v>
      </c>
      <c r="D35" s="5">
        <f t="shared" si="2"/>
        <v>507.55</v>
      </c>
      <c r="E35" s="5">
        <f t="shared" si="1"/>
        <v>676.73333333333335</v>
      </c>
      <c r="F35" s="31">
        <f t="shared" si="0"/>
        <v>0.25</v>
      </c>
      <c r="I35">
        <v>450</v>
      </c>
      <c r="J35" s="27"/>
      <c r="K35" s="5"/>
      <c r="L35" s="5"/>
      <c r="M35" s="5"/>
      <c r="N35" s="31"/>
      <c r="Q35">
        <v>450</v>
      </c>
      <c r="R35" s="27"/>
      <c r="S35" s="5"/>
      <c r="T35" s="5"/>
      <c r="U35" s="5"/>
      <c r="V35" s="31"/>
    </row>
    <row r="36" spans="1:22">
      <c r="A36">
        <v>500</v>
      </c>
      <c r="B36" s="27">
        <v>486.5</v>
      </c>
      <c r="C36" s="5">
        <v>369.85</v>
      </c>
      <c r="D36" s="5">
        <f t="shared" si="2"/>
        <v>613.1</v>
      </c>
      <c r="E36" s="5">
        <f t="shared" si="1"/>
        <v>817.4666666666667</v>
      </c>
      <c r="F36" s="31">
        <f t="shared" si="0"/>
        <v>0.25000000000000006</v>
      </c>
      <c r="I36">
        <v>500</v>
      </c>
      <c r="J36" s="27"/>
      <c r="K36" s="5"/>
      <c r="L36" s="5"/>
      <c r="M36" s="5"/>
      <c r="N36" s="31"/>
      <c r="Q36">
        <v>500</v>
      </c>
      <c r="R36" s="27"/>
      <c r="S36" s="5"/>
      <c r="T36" s="5"/>
      <c r="U36" s="5"/>
      <c r="V36" s="31"/>
    </row>
    <row r="37" spans="1:22">
      <c r="A37">
        <v>560</v>
      </c>
      <c r="B37" s="27">
        <v>747.6</v>
      </c>
      <c r="C37" s="5">
        <v>564.85</v>
      </c>
      <c r="D37" s="5">
        <f t="shared" si="2"/>
        <v>938.65000000000009</v>
      </c>
      <c r="E37" s="5">
        <f t="shared" si="1"/>
        <v>1251.5333333333335</v>
      </c>
      <c r="F37" s="31">
        <f t="shared" si="0"/>
        <v>0.24999999999999997</v>
      </c>
      <c r="I37">
        <v>560</v>
      </c>
      <c r="J37" s="27"/>
      <c r="K37" s="5"/>
      <c r="L37" s="5"/>
      <c r="M37" s="5"/>
      <c r="N37" s="31"/>
      <c r="Q37">
        <v>560</v>
      </c>
      <c r="R37" s="27"/>
      <c r="S37" s="5"/>
      <c r="T37" s="5"/>
      <c r="U37" s="5"/>
      <c r="V37" s="31"/>
    </row>
    <row r="38" spans="1:22">
      <c r="A38">
        <v>630</v>
      </c>
      <c r="B38" s="27">
        <v>1114.0999999999999</v>
      </c>
      <c r="C38" s="5">
        <v>844.85</v>
      </c>
      <c r="D38" s="5">
        <f t="shared" si="2"/>
        <v>1401.9</v>
      </c>
      <c r="E38" s="5">
        <f t="shared" si="1"/>
        <v>1869.2</v>
      </c>
      <c r="F38" s="31">
        <f t="shared" si="0"/>
        <v>0.25</v>
      </c>
      <c r="I38">
        <v>630</v>
      </c>
      <c r="J38" s="27"/>
      <c r="K38" s="5"/>
      <c r="L38" s="5"/>
      <c r="M38" s="5"/>
      <c r="N38" s="31"/>
      <c r="Q38">
        <v>630</v>
      </c>
      <c r="R38" s="27"/>
      <c r="S38" s="5"/>
      <c r="T38" s="5"/>
      <c r="U38" s="5"/>
      <c r="V38" s="31"/>
    </row>
    <row r="39" spans="1:22">
      <c r="A39">
        <v>710</v>
      </c>
      <c r="B39" s="27">
        <v>1565.08</v>
      </c>
      <c r="C39" s="5">
        <v>1169.8499999999999</v>
      </c>
      <c r="D39" s="5">
        <f t="shared" si="2"/>
        <v>1952.3899999999999</v>
      </c>
      <c r="E39" s="5">
        <f t="shared" si="1"/>
        <v>2603.1866666666665</v>
      </c>
      <c r="F39" s="31">
        <f t="shared" si="0"/>
        <v>0.25000000000000006</v>
      </c>
      <c r="I39">
        <v>710</v>
      </c>
      <c r="J39" s="27"/>
      <c r="K39" s="5"/>
      <c r="L39" s="5"/>
      <c r="M39" s="5"/>
      <c r="N39" s="31"/>
      <c r="Q39">
        <v>710</v>
      </c>
      <c r="R39" s="27"/>
      <c r="S39" s="5"/>
      <c r="T39" s="5"/>
      <c r="U39" s="5"/>
      <c r="V39" s="31"/>
    </row>
    <row r="40" spans="1:22">
      <c r="A40">
        <v>800</v>
      </c>
      <c r="B40" s="27">
        <v>1999.1</v>
      </c>
      <c r="C40" s="5">
        <v>1494.85</v>
      </c>
      <c r="D40" s="5">
        <f t="shared" si="2"/>
        <v>2494.3999999999996</v>
      </c>
      <c r="E40" s="5">
        <f t="shared" si="1"/>
        <v>3325.8666666666663</v>
      </c>
      <c r="F40" s="31">
        <f t="shared" si="0"/>
        <v>0.25000000000000006</v>
      </c>
      <c r="I40">
        <v>800</v>
      </c>
      <c r="J40" s="27"/>
      <c r="K40" s="5"/>
      <c r="L40" s="5"/>
      <c r="M40" s="5"/>
      <c r="N40" s="31"/>
      <c r="Q40">
        <v>800</v>
      </c>
      <c r="R40" s="27"/>
      <c r="S40" s="5"/>
      <c r="T40" s="5"/>
      <c r="U40" s="5"/>
      <c r="V40" s="31"/>
    </row>
    <row r="41" spans="1:22">
      <c r="A41">
        <v>900</v>
      </c>
      <c r="B41" s="27">
        <v>2845.65</v>
      </c>
      <c r="C41" s="5">
        <v>2144.85</v>
      </c>
      <c r="D41" s="5">
        <f t="shared" si="2"/>
        <v>3567.6750000000002</v>
      </c>
      <c r="E41" s="5">
        <f t="shared" si="1"/>
        <v>4756.9000000000005</v>
      </c>
      <c r="F41" s="31">
        <f t="shared" si="0"/>
        <v>0.24999999999999994</v>
      </c>
      <c r="I41">
        <v>900</v>
      </c>
      <c r="J41" s="27"/>
      <c r="K41" s="5"/>
      <c r="L41" s="5"/>
      <c r="M41" s="5"/>
      <c r="N41" s="31"/>
      <c r="Q41">
        <v>900</v>
      </c>
      <c r="R41" s="27"/>
      <c r="S41" s="5"/>
      <c r="T41" s="5"/>
      <c r="U41" s="5"/>
      <c r="V41" s="31"/>
    </row>
    <row r="42" spans="1:22" ht="15.75" thickBot="1">
      <c r="A42">
        <v>1000</v>
      </c>
      <c r="B42" s="33"/>
      <c r="C42" s="34">
        <v>3439.85</v>
      </c>
      <c r="D42" s="34">
        <f>C42</f>
        <v>3439.85</v>
      </c>
      <c r="E42" s="34">
        <f t="shared" si="1"/>
        <v>4586.4666666666662</v>
      </c>
      <c r="F42" s="35"/>
      <c r="I42">
        <v>1000</v>
      </c>
      <c r="J42" s="33"/>
      <c r="K42" s="34"/>
      <c r="L42" s="34"/>
      <c r="M42" s="34"/>
      <c r="N42" s="35"/>
      <c r="Q42">
        <v>1000</v>
      </c>
      <c r="R42" s="33"/>
      <c r="S42" s="34"/>
      <c r="T42" s="34"/>
      <c r="U42" s="34"/>
      <c r="V42" s="35"/>
    </row>
  </sheetData>
  <mergeCells count="4">
    <mergeCell ref="C2:D2"/>
    <mergeCell ref="A6:F6"/>
    <mergeCell ref="I6:N6"/>
    <mergeCell ref="Q6:V6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4"/>
  <sheetViews>
    <sheetView workbookViewId="0">
      <selection activeCell="B30" sqref="B30"/>
    </sheetView>
  </sheetViews>
  <sheetFormatPr defaultRowHeight="15"/>
  <cols>
    <col min="2" max="2" width="11.85546875" customWidth="1"/>
    <col min="8" max="8" width="12.7109375" customWidth="1"/>
    <col min="10" max="10" width="21.7109375" customWidth="1"/>
  </cols>
  <sheetData>
    <row r="2" spans="1:18" ht="114.75" customHeight="1" thickBot="1"/>
    <row r="3" spans="1:18" ht="45.75" thickBot="1">
      <c r="B3" s="42" t="s">
        <v>39</v>
      </c>
      <c r="C3" s="43" t="s">
        <v>41</v>
      </c>
      <c r="D3" s="43" t="s">
        <v>42</v>
      </c>
      <c r="E3" s="43"/>
      <c r="F3" s="44"/>
      <c r="H3" s="45" t="s">
        <v>39</v>
      </c>
      <c r="I3" s="43" t="s">
        <v>43</v>
      </c>
      <c r="J3" s="43" t="s">
        <v>44</v>
      </c>
      <c r="K3" s="43"/>
      <c r="L3" s="44"/>
    </row>
    <row r="4" spans="1:18" ht="16.5" thickBot="1">
      <c r="B4" s="41"/>
      <c r="H4" s="41"/>
    </row>
    <row r="5" spans="1:18" ht="15.75" thickBot="1">
      <c r="B5" s="37" t="s">
        <v>40</v>
      </c>
      <c r="C5" s="38" t="s">
        <v>7</v>
      </c>
      <c r="D5" s="38" t="s">
        <v>8</v>
      </c>
      <c r="E5" s="38" t="s">
        <v>9</v>
      </c>
      <c r="F5" s="39" t="s">
        <v>36</v>
      </c>
      <c r="H5" s="37" t="s">
        <v>40</v>
      </c>
      <c r="I5" s="38" t="s">
        <v>7</v>
      </c>
      <c r="J5" s="38" t="s">
        <v>8</v>
      </c>
      <c r="K5" s="38" t="s">
        <v>9</v>
      </c>
      <c r="L5" s="39" t="s">
        <v>36</v>
      </c>
    </row>
    <row r="6" spans="1:18">
      <c r="A6" t="s">
        <v>20</v>
      </c>
      <c r="B6" s="36"/>
      <c r="C6" s="23"/>
      <c r="D6" s="23"/>
      <c r="E6" s="23"/>
      <c r="F6" s="30"/>
      <c r="H6" s="36"/>
      <c r="I6" s="23"/>
      <c r="J6" s="23"/>
      <c r="K6" s="23"/>
      <c r="L6" s="30"/>
    </row>
    <row r="7" spans="1:18">
      <c r="A7">
        <v>63</v>
      </c>
      <c r="B7" s="27">
        <v>29.621999999999996</v>
      </c>
      <c r="C7" s="5"/>
      <c r="D7" s="5">
        <f>B7</f>
        <v>29.621999999999996</v>
      </c>
      <c r="E7" s="5">
        <f>D7/0.75</f>
        <v>39.495999999999995</v>
      </c>
      <c r="F7" s="31">
        <f>(E7-D7)/E7</f>
        <v>0.25</v>
      </c>
      <c r="H7" s="27">
        <v>39.245999999999995</v>
      </c>
      <c r="I7" s="5">
        <v>22.75</v>
      </c>
      <c r="J7" s="5">
        <f t="shared" ref="J7:J17" si="0">I7+H7/2</f>
        <v>42.372999999999998</v>
      </c>
      <c r="K7" s="5">
        <f>J7/0.75</f>
        <v>56.49733333333333</v>
      </c>
      <c r="L7" s="31">
        <f>(K7-J7)/K7</f>
        <v>0.25</v>
      </c>
      <c r="Q7" s="14"/>
      <c r="R7" s="40"/>
    </row>
    <row r="8" spans="1:18">
      <c r="A8">
        <v>75</v>
      </c>
      <c r="B8" s="27">
        <v>50.423999999999999</v>
      </c>
      <c r="C8" s="5"/>
      <c r="D8" s="5">
        <f t="shared" ref="D8:D25" si="1">B8</f>
        <v>50.423999999999999</v>
      </c>
      <c r="E8" s="5">
        <f t="shared" ref="E8:E25" si="2">D8/0.75</f>
        <v>67.231999999999999</v>
      </c>
      <c r="F8" s="31">
        <f t="shared" ref="F8:F25" si="3">(E8-D8)/E8</f>
        <v>0.25</v>
      </c>
      <c r="H8" s="27">
        <v>68.075999999999993</v>
      </c>
      <c r="I8" s="5">
        <v>39.75</v>
      </c>
      <c r="J8" s="5">
        <f t="shared" si="0"/>
        <v>73.787999999999997</v>
      </c>
      <c r="K8" s="5">
        <f t="shared" ref="K8:K25" si="4">J8/0.75</f>
        <v>98.384</v>
      </c>
      <c r="L8" s="31">
        <f t="shared" ref="L8:L25" si="5">(K8-J8)/K8</f>
        <v>0.25000000000000006</v>
      </c>
    </row>
    <row r="9" spans="1:18">
      <c r="A9">
        <v>90</v>
      </c>
      <c r="B9" s="27">
        <v>76.055999999999997</v>
      </c>
      <c r="C9" s="5"/>
      <c r="D9" s="5">
        <f t="shared" si="1"/>
        <v>76.055999999999997</v>
      </c>
      <c r="E9" s="5">
        <f t="shared" si="2"/>
        <v>101.408</v>
      </c>
      <c r="F9" s="31">
        <f t="shared" si="3"/>
        <v>0.25000000000000006</v>
      </c>
      <c r="H9" s="27">
        <v>99.293999999999997</v>
      </c>
      <c r="I9" s="5">
        <v>57.75</v>
      </c>
      <c r="J9" s="5">
        <f t="shared" si="0"/>
        <v>107.39699999999999</v>
      </c>
      <c r="K9" s="5">
        <f t="shared" si="4"/>
        <v>143.196</v>
      </c>
      <c r="L9" s="31">
        <f t="shared" si="5"/>
        <v>0.25000000000000006</v>
      </c>
    </row>
    <row r="10" spans="1:18">
      <c r="A10">
        <v>110</v>
      </c>
      <c r="B10" s="27">
        <v>120.88799999999999</v>
      </c>
      <c r="C10" s="5"/>
      <c r="D10" s="5">
        <f t="shared" si="1"/>
        <v>120.88799999999999</v>
      </c>
      <c r="E10" s="5">
        <f t="shared" si="2"/>
        <v>161.184</v>
      </c>
      <c r="F10" s="31">
        <f t="shared" si="3"/>
        <v>0.25000000000000006</v>
      </c>
      <c r="H10" s="27">
        <v>164.178</v>
      </c>
      <c r="I10" s="5">
        <v>89.75</v>
      </c>
      <c r="J10" s="5">
        <f t="shared" si="0"/>
        <v>171.839</v>
      </c>
      <c r="K10" s="5">
        <f t="shared" si="4"/>
        <v>229.11866666666666</v>
      </c>
      <c r="L10" s="31">
        <f t="shared" si="5"/>
        <v>0.24999999999999997</v>
      </c>
    </row>
    <row r="11" spans="1:18">
      <c r="A11">
        <v>125</v>
      </c>
      <c r="B11" s="27">
        <v>181.78200000000001</v>
      </c>
      <c r="C11" s="5"/>
      <c r="D11" s="5">
        <f t="shared" si="1"/>
        <v>181.78200000000001</v>
      </c>
      <c r="E11" s="5">
        <f t="shared" si="2"/>
        <v>242.376</v>
      </c>
      <c r="F11" s="31">
        <f t="shared" si="3"/>
        <v>0.24999999999999997</v>
      </c>
      <c r="H11" s="27">
        <v>245.02199999999999</v>
      </c>
      <c r="I11" s="5">
        <v>164.75</v>
      </c>
      <c r="J11" s="5">
        <f t="shared" si="0"/>
        <v>287.26099999999997</v>
      </c>
      <c r="K11" s="5">
        <f t="shared" si="4"/>
        <v>383.01466666666664</v>
      </c>
      <c r="L11" s="31">
        <f t="shared" si="5"/>
        <v>0.25000000000000006</v>
      </c>
    </row>
    <row r="12" spans="1:18">
      <c r="A12">
        <v>140</v>
      </c>
      <c r="B12" s="27">
        <v>213.04799999999997</v>
      </c>
      <c r="C12" s="5"/>
      <c r="D12" s="5">
        <f t="shared" si="1"/>
        <v>213.04799999999997</v>
      </c>
      <c r="E12" s="5">
        <f t="shared" si="2"/>
        <v>284.06399999999996</v>
      </c>
      <c r="F12" s="31">
        <f t="shared" si="3"/>
        <v>0.25</v>
      </c>
      <c r="H12" s="27">
        <v>278.68200000000002</v>
      </c>
      <c r="I12" s="5"/>
      <c r="J12" s="5">
        <f>H12</f>
        <v>278.68200000000002</v>
      </c>
      <c r="K12" s="5">
        <f t="shared" si="4"/>
        <v>371.57600000000002</v>
      </c>
      <c r="L12" s="31">
        <f t="shared" si="5"/>
        <v>0.25</v>
      </c>
    </row>
    <row r="13" spans="1:18">
      <c r="A13">
        <v>160</v>
      </c>
      <c r="B13" s="27">
        <v>281.12400000000002</v>
      </c>
      <c r="C13" s="5"/>
      <c r="D13" s="5">
        <f t="shared" si="1"/>
        <v>281.12400000000002</v>
      </c>
      <c r="E13" s="5">
        <f t="shared" si="2"/>
        <v>374.83200000000005</v>
      </c>
      <c r="F13" s="31">
        <f t="shared" si="3"/>
        <v>0.25000000000000006</v>
      </c>
      <c r="H13" s="27">
        <v>381.96600000000001</v>
      </c>
      <c r="I13" s="5">
        <v>207.75</v>
      </c>
      <c r="J13" s="5">
        <f t="shared" si="0"/>
        <v>398.733</v>
      </c>
      <c r="K13" s="5">
        <f t="shared" si="4"/>
        <v>531.64400000000001</v>
      </c>
      <c r="L13" s="31">
        <f t="shared" si="5"/>
        <v>0.25</v>
      </c>
    </row>
    <row r="14" spans="1:18">
      <c r="A14">
        <v>180</v>
      </c>
      <c r="B14" s="27">
        <v>408.39599999999996</v>
      </c>
      <c r="C14" s="5"/>
      <c r="D14" s="5">
        <f t="shared" si="1"/>
        <v>408.39599999999996</v>
      </c>
      <c r="E14" s="5">
        <f t="shared" si="2"/>
        <v>544.52799999999991</v>
      </c>
      <c r="F14" s="31">
        <f t="shared" si="3"/>
        <v>0.24999999999999994</v>
      </c>
      <c r="H14" s="27">
        <v>549.37799999999993</v>
      </c>
      <c r="I14" s="5">
        <v>318.75</v>
      </c>
      <c r="J14" s="5">
        <f t="shared" si="0"/>
        <v>593.43899999999996</v>
      </c>
      <c r="K14" s="5">
        <f t="shared" si="4"/>
        <v>791.25199999999995</v>
      </c>
      <c r="L14" s="31">
        <f t="shared" si="5"/>
        <v>0.25</v>
      </c>
    </row>
    <row r="15" spans="1:18">
      <c r="A15">
        <v>200</v>
      </c>
      <c r="B15" s="27">
        <v>533.322</v>
      </c>
      <c r="C15" s="5"/>
      <c r="D15" s="5">
        <f t="shared" si="1"/>
        <v>533.322</v>
      </c>
      <c r="E15" s="5">
        <f t="shared" si="2"/>
        <v>711.096</v>
      </c>
      <c r="F15" s="31">
        <f t="shared" si="3"/>
        <v>0.25</v>
      </c>
      <c r="H15" s="27">
        <v>710.36400000000003</v>
      </c>
      <c r="I15" s="5">
        <v>441.75</v>
      </c>
      <c r="J15" s="5">
        <f t="shared" si="0"/>
        <v>796.93200000000002</v>
      </c>
      <c r="K15" s="5">
        <f t="shared" si="4"/>
        <v>1062.576</v>
      </c>
      <c r="L15" s="31">
        <f t="shared" si="5"/>
        <v>0.25</v>
      </c>
    </row>
    <row r="16" spans="1:18">
      <c r="A16">
        <v>225</v>
      </c>
      <c r="B16" s="27">
        <v>815.24400000000003</v>
      </c>
      <c r="C16" s="5"/>
      <c r="D16" s="5">
        <f t="shared" si="1"/>
        <v>815.24400000000003</v>
      </c>
      <c r="E16" s="5">
        <f t="shared" si="2"/>
        <v>1086.992</v>
      </c>
      <c r="F16" s="31">
        <f t="shared" si="3"/>
        <v>0.24999999999999994</v>
      </c>
      <c r="H16" s="27">
        <v>1141.9559999999999</v>
      </c>
      <c r="I16" s="5">
        <v>630.75</v>
      </c>
      <c r="J16" s="5">
        <f t="shared" si="0"/>
        <v>1201.7280000000001</v>
      </c>
      <c r="K16" s="5">
        <f t="shared" si="4"/>
        <v>1602.3040000000001</v>
      </c>
      <c r="L16" s="31">
        <f t="shared" si="5"/>
        <v>0.25</v>
      </c>
    </row>
    <row r="17" spans="1:12">
      <c r="A17">
        <v>250</v>
      </c>
      <c r="B17" s="27">
        <v>887.31</v>
      </c>
      <c r="C17" s="5"/>
      <c r="D17" s="5">
        <f t="shared" si="1"/>
        <v>887.31</v>
      </c>
      <c r="E17" s="5">
        <f t="shared" si="2"/>
        <v>1183.08</v>
      </c>
      <c r="F17" s="31">
        <f t="shared" si="3"/>
        <v>0.25</v>
      </c>
      <c r="H17" s="27">
        <v>1216.4580000000001</v>
      </c>
      <c r="I17" s="5">
        <v>740.75</v>
      </c>
      <c r="J17" s="5">
        <f t="shared" si="0"/>
        <v>1348.979</v>
      </c>
      <c r="K17" s="5">
        <f t="shared" si="4"/>
        <v>1798.6386666666667</v>
      </c>
      <c r="L17" s="31">
        <f t="shared" si="5"/>
        <v>0.25</v>
      </c>
    </row>
    <row r="18" spans="1:12">
      <c r="A18">
        <v>280</v>
      </c>
      <c r="B18" s="27">
        <v>1345.422</v>
      </c>
      <c r="C18" s="5"/>
      <c r="D18" s="5">
        <f t="shared" si="1"/>
        <v>1345.422</v>
      </c>
      <c r="E18" s="5">
        <f t="shared" si="2"/>
        <v>1793.896</v>
      </c>
      <c r="F18" s="31">
        <f t="shared" si="3"/>
        <v>0.24999999999999997</v>
      </c>
      <c r="H18" s="27">
        <v>1878.75</v>
      </c>
      <c r="I18" s="5"/>
      <c r="J18" s="5">
        <f>H18</f>
        <v>1878.75</v>
      </c>
      <c r="K18" s="5">
        <f t="shared" si="4"/>
        <v>2505</v>
      </c>
      <c r="L18" s="31">
        <f t="shared" si="5"/>
        <v>0.25</v>
      </c>
    </row>
    <row r="19" spans="1:12">
      <c r="A19">
        <v>315</v>
      </c>
      <c r="B19" s="27">
        <v>1822.692</v>
      </c>
      <c r="C19" s="5"/>
      <c r="D19" s="5">
        <f t="shared" si="1"/>
        <v>1822.692</v>
      </c>
      <c r="E19" s="5">
        <f t="shared" si="2"/>
        <v>2430.2559999999999</v>
      </c>
      <c r="F19" s="31">
        <f t="shared" si="3"/>
        <v>0.24999999999999994</v>
      </c>
      <c r="H19" s="27">
        <v>2423.34</v>
      </c>
      <c r="I19" s="5"/>
      <c r="J19" s="5">
        <f t="shared" ref="J19:J25" si="6">H19</f>
        <v>2423.34</v>
      </c>
      <c r="K19" s="5">
        <f t="shared" si="4"/>
        <v>3231.1200000000003</v>
      </c>
      <c r="L19" s="31">
        <f t="shared" si="5"/>
        <v>0.25000000000000006</v>
      </c>
    </row>
    <row r="20" spans="1:12">
      <c r="A20">
        <v>355</v>
      </c>
      <c r="B20" s="27">
        <v>3259.386</v>
      </c>
      <c r="C20" s="5"/>
      <c r="D20" s="5">
        <f t="shared" si="1"/>
        <v>3259.386</v>
      </c>
      <c r="E20" s="5">
        <f t="shared" si="2"/>
        <v>4345.848</v>
      </c>
      <c r="F20" s="31">
        <f t="shared" si="3"/>
        <v>0.25</v>
      </c>
      <c r="H20" s="27">
        <v>4550.9580000000005</v>
      </c>
      <c r="I20" s="5"/>
      <c r="J20" s="5">
        <f t="shared" si="6"/>
        <v>4550.9580000000005</v>
      </c>
      <c r="K20" s="5">
        <f t="shared" si="4"/>
        <v>6067.9440000000004</v>
      </c>
      <c r="L20" s="31">
        <f t="shared" si="5"/>
        <v>0.24999999999999997</v>
      </c>
    </row>
    <row r="21" spans="1:12">
      <c r="A21">
        <v>400</v>
      </c>
      <c r="B21" s="27">
        <v>4380.5399999999991</v>
      </c>
      <c r="C21" s="5"/>
      <c r="D21" s="5">
        <f t="shared" si="1"/>
        <v>4380.5399999999991</v>
      </c>
      <c r="E21" s="5">
        <f t="shared" si="2"/>
        <v>5840.7199999999984</v>
      </c>
      <c r="F21" s="31">
        <f t="shared" si="3"/>
        <v>0.24999999999999997</v>
      </c>
      <c r="H21" s="27">
        <v>5573.808</v>
      </c>
      <c r="I21" s="5"/>
      <c r="J21" s="5">
        <f t="shared" si="6"/>
        <v>5573.808</v>
      </c>
      <c r="K21" s="5">
        <f t="shared" si="4"/>
        <v>7431.7439999999997</v>
      </c>
      <c r="L21" s="31">
        <f t="shared" si="5"/>
        <v>0.24999999999999997</v>
      </c>
    </row>
    <row r="22" spans="1:12">
      <c r="A22">
        <v>450</v>
      </c>
      <c r="B22" s="27">
        <v>6530.4120000000003</v>
      </c>
      <c r="C22" s="5"/>
      <c r="D22" s="5">
        <f t="shared" si="1"/>
        <v>6530.4120000000003</v>
      </c>
      <c r="E22" s="5">
        <f t="shared" si="2"/>
        <v>8707.2160000000003</v>
      </c>
      <c r="F22" s="31">
        <f t="shared" si="3"/>
        <v>0.25</v>
      </c>
      <c r="H22" s="27">
        <v>8956.0079999999998</v>
      </c>
      <c r="I22" s="5"/>
      <c r="J22" s="5">
        <f t="shared" si="6"/>
        <v>8956.0079999999998</v>
      </c>
      <c r="K22" s="5">
        <f t="shared" si="4"/>
        <v>11941.343999999999</v>
      </c>
      <c r="L22" s="31">
        <f t="shared" si="5"/>
        <v>0.24999999999999997</v>
      </c>
    </row>
    <row r="23" spans="1:12">
      <c r="A23">
        <v>500</v>
      </c>
      <c r="B23" s="27">
        <v>8582.82</v>
      </c>
      <c r="C23" s="5"/>
      <c r="D23" s="5">
        <f t="shared" si="1"/>
        <v>8582.82</v>
      </c>
      <c r="E23" s="5">
        <f t="shared" si="2"/>
        <v>11443.76</v>
      </c>
      <c r="F23" s="31">
        <f t="shared" si="3"/>
        <v>0.25000000000000006</v>
      </c>
      <c r="H23" s="27">
        <v>11754.737999999999</v>
      </c>
      <c r="I23" s="5"/>
      <c r="J23" s="5">
        <f t="shared" si="6"/>
        <v>11754.737999999999</v>
      </c>
      <c r="K23" s="5">
        <f t="shared" si="4"/>
        <v>15672.983999999999</v>
      </c>
      <c r="L23" s="31">
        <f t="shared" si="5"/>
        <v>0.24999999999999997</v>
      </c>
    </row>
    <row r="24" spans="1:12">
      <c r="A24">
        <v>560</v>
      </c>
      <c r="B24" s="27">
        <v>11754.737999999999</v>
      </c>
      <c r="C24" s="5"/>
      <c r="D24" s="5">
        <f t="shared" si="1"/>
        <v>11754.737999999999</v>
      </c>
      <c r="E24" s="5">
        <f t="shared" si="2"/>
        <v>15672.983999999999</v>
      </c>
      <c r="F24" s="31">
        <f t="shared" si="3"/>
        <v>0.24999999999999997</v>
      </c>
      <c r="H24" s="27">
        <v>14926.662</v>
      </c>
      <c r="I24" s="5"/>
      <c r="J24" s="5">
        <f t="shared" si="6"/>
        <v>14926.662</v>
      </c>
      <c r="K24" s="5">
        <f t="shared" si="4"/>
        <v>19902.216</v>
      </c>
      <c r="L24" s="31">
        <f t="shared" si="5"/>
        <v>0.25</v>
      </c>
    </row>
    <row r="25" spans="1:12">
      <c r="A25">
        <v>630</v>
      </c>
      <c r="B25" s="27">
        <v>17050.853999999999</v>
      </c>
      <c r="C25" s="5"/>
      <c r="D25" s="5">
        <f t="shared" si="1"/>
        <v>17050.853999999999</v>
      </c>
      <c r="E25" s="5">
        <f t="shared" si="2"/>
        <v>22734.471999999998</v>
      </c>
      <c r="F25" s="31">
        <f t="shared" si="3"/>
        <v>0.24999999999999997</v>
      </c>
      <c r="H25" s="27">
        <v>21905.705999999998</v>
      </c>
      <c r="I25" s="5"/>
      <c r="J25" s="5">
        <f t="shared" si="6"/>
        <v>21905.705999999998</v>
      </c>
      <c r="K25" s="5">
        <f t="shared" si="4"/>
        <v>29207.607999999997</v>
      </c>
      <c r="L25" s="31">
        <f t="shared" si="5"/>
        <v>0.24999999999999997</v>
      </c>
    </row>
    <row r="27" spans="1:12" ht="15.75" thickBot="1"/>
    <row r="28" spans="1:12" ht="45.75" thickBot="1">
      <c r="B28" s="42" t="s">
        <v>45</v>
      </c>
      <c r="C28" s="43" t="s">
        <v>41</v>
      </c>
      <c r="D28" s="43" t="s">
        <v>42</v>
      </c>
      <c r="E28" s="43"/>
      <c r="F28" s="44"/>
      <c r="H28" s="45" t="s">
        <v>45</v>
      </c>
      <c r="I28" s="43" t="s">
        <v>43</v>
      </c>
      <c r="J28" s="43" t="s">
        <v>44</v>
      </c>
      <c r="K28" s="43"/>
      <c r="L28" s="44"/>
    </row>
    <row r="29" spans="1:12" ht="16.5" thickBot="1">
      <c r="B29" s="41"/>
      <c r="H29" s="41"/>
    </row>
    <row r="30" spans="1:12" ht="15.75" thickBot="1">
      <c r="B30" s="37" t="s">
        <v>40</v>
      </c>
      <c r="C30" s="38" t="s">
        <v>7</v>
      </c>
      <c r="D30" s="38" t="s">
        <v>8</v>
      </c>
      <c r="E30" s="38" t="s">
        <v>9</v>
      </c>
      <c r="F30" s="39" t="s">
        <v>36</v>
      </c>
      <c r="H30" s="37" t="s">
        <v>40</v>
      </c>
      <c r="I30" s="38" t="s">
        <v>7</v>
      </c>
      <c r="J30" s="38" t="s">
        <v>8</v>
      </c>
      <c r="K30" s="38" t="s">
        <v>9</v>
      </c>
      <c r="L30" s="39" t="s">
        <v>36</v>
      </c>
    </row>
    <row r="31" spans="1:12">
      <c r="A31" t="s">
        <v>20</v>
      </c>
      <c r="B31" s="36"/>
      <c r="C31" s="23"/>
      <c r="D31" s="23"/>
      <c r="E31" s="23"/>
      <c r="F31" s="30"/>
      <c r="H31" s="36"/>
      <c r="I31" s="23"/>
      <c r="J31" s="23"/>
      <c r="K31" s="23"/>
      <c r="L31" s="30"/>
    </row>
    <row r="32" spans="1:12">
      <c r="A32">
        <v>63</v>
      </c>
      <c r="B32" s="27">
        <v>21.594000000000001</v>
      </c>
      <c r="C32" s="5"/>
      <c r="D32" s="5">
        <f>B32</f>
        <v>21.594000000000001</v>
      </c>
      <c r="E32" s="5">
        <f>D32/0.75</f>
        <v>28.792000000000002</v>
      </c>
      <c r="F32" s="31">
        <f>(E32-D32)/E32</f>
        <v>0.25</v>
      </c>
      <c r="H32" s="27">
        <v>29.621999999999996</v>
      </c>
      <c r="I32" s="5">
        <v>32.25</v>
      </c>
      <c r="J32" s="5">
        <f>I32+H32/2</f>
        <v>47.061</v>
      </c>
      <c r="K32" s="5">
        <f>J32/0.75</f>
        <v>62.747999999999998</v>
      </c>
      <c r="L32" s="31">
        <f>(K32-J32)/K32</f>
        <v>0.24999999999999997</v>
      </c>
    </row>
    <row r="33" spans="1:12">
      <c r="A33">
        <v>75</v>
      </c>
      <c r="B33" s="27">
        <v>30.42</v>
      </c>
      <c r="C33" s="5"/>
      <c r="D33" s="5">
        <f t="shared" ref="D33:D50" si="7">B33</f>
        <v>30.42</v>
      </c>
      <c r="E33" s="5">
        <f t="shared" ref="E33:E50" si="8">D33/0.75</f>
        <v>40.56</v>
      </c>
      <c r="F33" s="31">
        <f t="shared" ref="F33:F50" si="9">(E33-D33)/E33</f>
        <v>0.25</v>
      </c>
      <c r="H33" s="27">
        <v>42.438000000000002</v>
      </c>
      <c r="I33" s="5">
        <v>53.25</v>
      </c>
      <c r="J33" s="5">
        <f>I33+H33/2</f>
        <v>74.468999999999994</v>
      </c>
      <c r="K33" s="5">
        <f t="shared" ref="K33:K50" si="10">J33/0.75</f>
        <v>99.291999999999987</v>
      </c>
      <c r="L33" s="31">
        <f t="shared" ref="L33:L50" si="11">(K33-J33)/K33</f>
        <v>0.24999999999999997</v>
      </c>
    </row>
    <row r="34" spans="1:12">
      <c r="A34">
        <v>90</v>
      </c>
      <c r="B34" s="27">
        <v>62.441999999999993</v>
      </c>
      <c r="C34" s="5"/>
      <c r="D34" s="5">
        <f t="shared" si="7"/>
        <v>62.441999999999993</v>
      </c>
      <c r="E34" s="5">
        <f t="shared" si="8"/>
        <v>83.255999999999986</v>
      </c>
      <c r="F34" s="31">
        <f t="shared" si="9"/>
        <v>0.24999999999999994</v>
      </c>
      <c r="H34" s="27">
        <v>83.286000000000001</v>
      </c>
      <c r="I34" s="5">
        <v>65.25</v>
      </c>
      <c r="J34" s="5">
        <f>I34+H34/2</f>
        <v>106.893</v>
      </c>
      <c r="K34" s="5">
        <f t="shared" si="10"/>
        <v>142.524</v>
      </c>
      <c r="L34" s="31">
        <f t="shared" si="11"/>
        <v>0.25</v>
      </c>
    </row>
    <row r="35" spans="1:12">
      <c r="A35">
        <v>110</v>
      </c>
      <c r="B35" s="27">
        <v>91.266000000000005</v>
      </c>
      <c r="C35" s="5"/>
      <c r="D35" s="5">
        <f t="shared" si="7"/>
        <v>91.266000000000005</v>
      </c>
      <c r="E35" s="5">
        <f t="shared" si="8"/>
        <v>121.688</v>
      </c>
      <c r="F35" s="31">
        <f t="shared" si="9"/>
        <v>0.24999999999999997</v>
      </c>
      <c r="H35" s="27">
        <v>126.52199999999999</v>
      </c>
      <c r="I35" s="5">
        <v>105</v>
      </c>
      <c r="J35" s="5">
        <f>I35+H35/2</f>
        <v>168.261</v>
      </c>
      <c r="K35" s="5">
        <f t="shared" si="10"/>
        <v>224.34799999999998</v>
      </c>
      <c r="L35" s="31">
        <f t="shared" si="11"/>
        <v>0.24999999999999997</v>
      </c>
    </row>
    <row r="36" spans="1:12">
      <c r="A36">
        <v>125</v>
      </c>
      <c r="B36" s="27">
        <v>113.70599999999999</v>
      </c>
      <c r="C36" s="5"/>
      <c r="D36" s="5">
        <f t="shared" si="7"/>
        <v>113.70599999999999</v>
      </c>
      <c r="E36" s="5">
        <f t="shared" si="8"/>
        <v>151.60799999999998</v>
      </c>
      <c r="F36" s="31">
        <f t="shared" si="9"/>
        <v>0.24999999999999994</v>
      </c>
      <c r="H36" s="27">
        <v>156.98999999999998</v>
      </c>
      <c r="I36" s="5">
        <v>173.25</v>
      </c>
      <c r="J36" s="5">
        <f>I36+H36/2</f>
        <v>251.745</v>
      </c>
      <c r="K36" s="5">
        <f t="shared" si="10"/>
        <v>335.66</v>
      </c>
      <c r="L36" s="31">
        <f t="shared" si="11"/>
        <v>0.25000000000000006</v>
      </c>
    </row>
    <row r="37" spans="1:12">
      <c r="A37">
        <v>140</v>
      </c>
      <c r="B37" s="27">
        <v>211.01999999999998</v>
      </c>
      <c r="C37" s="5"/>
      <c r="D37" s="5">
        <f t="shared" si="7"/>
        <v>211.01999999999998</v>
      </c>
      <c r="E37" s="5">
        <f t="shared" si="8"/>
        <v>281.35999999999996</v>
      </c>
      <c r="F37" s="31">
        <f t="shared" si="9"/>
        <v>0.24999999999999994</v>
      </c>
      <c r="H37" s="27">
        <v>276.34199999999998</v>
      </c>
      <c r="I37" s="5"/>
      <c r="J37" s="5">
        <f>H37</f>
        <v>276.34199999999998</v>
      </c>
      <c r="K37" s="5">
        <f t="shared" si="10"/>
        <v>368.45599999999996</v>
      </c>
      <c r="L37" s="31">
        <f t="shared" si="11"/>
        <v>0.24999999999999997</v>
      </c>
    </row>
    <row r="38" spans="1:12">
      <c r="A38">
        <v>160</v>
      </c>
      <c r="B38" s="27">
        <v>248.25599999999997</v>
      </c>
      <c r="C38" s="5"/>
      <c r="D38" s="5">
        <f t="shared" si="7"/>
        <v>248.25599999999997</v>
      </c>
      <c r="E38" s="5">
        <f t="shared" si="8"/>
        <v>331.00799999999998</v>
      </c>
      <c r="F38" s="31">
        <f t="shared" si="9"/>
        <v>0.25000000000000006</v>
      </c>
      <c r="H38" s="27">
        <v>325.11</v>
      </c>
      <c r="I38" s="5">
        <v>222.75</v>
      </c>
      <c r="J38" s="5">
        <f>I38+H38/2</f>
        <v>385.30500000000001</v>
      </c>
      <c r="K38" s="5">
        <f t="shared" si="10"/>
        <v>513.74</v>
      </c>
      <c r="L38" s="31">
        <f t="shared" si="11"/>
        <v>0.25</v>
      </c>
    </row>
    <row r="39" spans="1:12">
      <c r="A39">
        <v>180</v>
      </c>
      <c r="B39" s="27">
        <v>326.70600000000002</v>
      </c>
      <c r="C39" s="5"/>
      <c r="D39" s="5">
        <f t="shared" si="7"/>
        <v>326.70600000000002</v>
      </c>
      <c r="E39" s="5">
        <f t="shared" si="8"/>
        <v>435.608</v>
      </c>
      <c r="F39" s="31">
        <f t="shared" si="9"/>
        <v>0.24999999999999997</v>
      </c>
      <c r="H39" s="27">
        <v>439.66199999999998</v>
      </c>
      <c r="I39" s="5">
        <v>305.25</v>
      </c>
      <c r="J39" s="5">
        <f>I39+H39/2</f>
        <v>525.08100000000002</v>
      </c>
      <c r="K39" s="5">
        <f t="shared" si="10"/>
        <v>700.10800000000006</v>
      </c>
      <c r="L39" s="31">
        <f t="shared" si="11"/>
        <v>0.25000000000000006</v>
      </c>
    </row>
    <row r="40" spans="1:12">
      <c r="A40">
        <v>200</v>
      </c>
      <c r="B40" s="27">
        <v>463.65599999999995</v>
      </c>
      <c r="C40" s="5"/>
      <c r="D40" s="5">
        <f t="shared" si="7"/>
        <v>463.65599999999995</v>
      </c>
      <c r="E40" s="5">
        <f t="shared" si="8"/>
        <v>618.20799999999997</v>
      </c>
      <c r="F40" s="31">
        <f t="shared" si="9"/>
        <v>0.25000000000000006</v>
      </c>
      <c r="H40" s="27">
        <v>618.20399999999995</v>
      </c>
      <c r="I40" s="5">
        <v>379.5</v>
      </c>
      <c r="J40" s="5">
        <f>I40+H40/2</f>
        <v>688.60199999999998</v>
      </c>
      <c r="K40" s="5">
        <f t="shared" si="10"/>
        <v>918.13599999999997</v>
      </c>
      <c r="L40" s="31">
        <f t="shared" si="11"/>
        <v>0.25</v>
      </c>
    </row>
    <row r="41" spans="1:12">
      <c r="A41">
        <v>225</v>
      </c>
      <c r="B41" s="27">
        <v>552.57600000000002</v>
      </c>
      <c r="C41" s="5"/>
      <c r="D41" s="5">
        <f t="shared" si="7"/>
        <v>552.57600000000002</v>
      </c>
      <c r="E41" s="5">
        <f t="shared" si="8"/>
        <v>736.76800000000003</v>
      </c>
      <c r="F41" s="31">
        <f t="shared" si="9"/>
        <v>0.25</v>
      </c>
      <c r="H41" s="27">
        <v>781.58400000000006</v>
      </c>
      <c r="I41" s="5">
        <v>473.25</v>
      </c>
      <c r="J41" s="5">
        <f>I41+H41/2</f>
        <v>864.04200000000003</v>
      </c>
      <c r="K41" s="5">
        <f t="shared" si="10"/>
        <v>1152.056</v>
      </c>
      <c r="L41" s="31">
        <f t="shared" si="11"/>
        <v>0.25</v>
      </c>
    </row>
    <row r="42" spans="1:12">
      <c r="A42">
        <v>250</v>
      </c>
      <c r="B42" s="27">
        <v>752.80200000000002</v>
      </c>
      <c r="C42" s="5"/>
      <c r="D42" s="5">
        <f t="shared" si="7"/>
        <v>752.80200000000002</v>
      </c>
      <c r="E42" s="5">
        <f t="shared" si="8"/>
        <v>1003.736</v>
      </c>
      <c r="F42" s="31">
        <f t="shared" si="9"/>
        <v>0.24999999999999997</v>
      </c>
      <c r="H42" s="27">
        <v>1005.006</v>
      </c>
      <c r="I42" s="5">
        <v>593.25</v>
      </c>
      <c r="J42" s="5">
        <f>I42+H42/2</f>
        <v>1095.7529999999999</v>
      </c>
      <c r="K42" s="5">
        <f t="shared" si="10"/>
        <v>1461.0039999999999</v>
      </c>
      <c r="L42" s="31">
        <f t="shared" si="11"/>
        <v>0.25</v>
      </c>
    </row>
    <row r="43" spans="1:12">
      <c r="A43">
        <v>280</v>
      </c>
      <c r="B43" s="27">
        <v>1133.97</v>
      </c>
      <c r="C43" s="5"/>
      <c r="D43" s="5">
        <f t="shared" si="7"/>
        <v>1133.97</v>
      </c>
      <c r="E43" s="5">
        <f t="shared" si="8"/>
        <v>1511.96</v>
      </c>
      <c r="F43" s="31">
        <f t="shared" si="9"/>
        <v>0.25</v>
      </c>
      <c r="H43" s="27">
        <v>1483.9680000000001</v>
      </c>
      <c r="I43" s="5"/>
      <c r="J43" s="5">
        <f>H43</f>
        <v>1483.9680000000001</v>
      </c>
      <c r="K43" s="5">
        <f t="shared" si="10"/>
        <v>1978.624</v>
      </c>
      <c r="L43" s="31">
        <f t="shared" si="11"/>
        <v>0.24999999999999997</v>
      </c>
    </row>
    <row r="44" spans="1:12">
      <c r="A44">
        <v>315</v>
      </c>
      <c r="B44" s="27">
        <v>1379.838</v>
      </c>
      <c r="C44" s="5"/>
      <c r="D44" s="5">
        <f t="shared" si="7"/>
        <v>1379.838</v>
      </c>
      <c r="E44" s="5">
        <f t="shared" si="8"/>
        <v>1839.7839999999999</v>
      </c>
      <c r="F44" s="31">
        <f t="shared" si="9"/>
        <v>0.24999999999999997</v>
      </c>
      <c r="H44" s="27">
        <v>1917.1979999999999</v>
      </c>
      <c r="I44" s="5"/>
      <c r="J44" s="5">
        <f t="shared" ref="J44:J50" si="12">H44</f>
        <v>1917.1979999999999</v>
      </c>
      <c r="K44" s="5">
        <f t="shared" si="10"/>
        <v>2556.2639999999997</v>
      </c>
      <c r="L44" s="31">
        <f t="shared" si="11"/>
        <v>0.24999999999999994</v>
      </c>
    </row>
    <row r="45" spans="1:12">
      <c r="A45">
        <v>355</v>
      </c>
      <c r="B45" s="27">
        <v>2162.2199999999998</v>
      </c>
      <c r="C45" s="5"/>
      <c r="D45" s="5">
        <f t="shared" si="7"/>
        <v>2162.2199999999998</v>
      </c>
      <c r="E45" s="5">
        <f t="shared" si="8"/>
        <v>2882.9599999999996</v>
      </c>
      <c r="F45" s="31">
        <f t="shared" si="9"/>
        <v>0.24999999999999997</v>
      </c>
      <c r="H45" s="27">
        <v>2947.0860000000002</v>
      </c>
      <c r="I45" s="5"/>
      <c r="J45" s="5">
        <f t="shared" si="12"/>
        <v>2947.0860000000002</v>
      </c>
      <c r="K45" s="5">
        <f t="shared" si="10"/>
        <v>3929.4480000000003</v>
      </c>
      <c r="L45" s="31">
        <f t="shared" si="11"/>
        <v>0.25</v>
      </c>
    </row>
    <row r="46" spans="1:12">
      <c r="A46">
        <v>400</v>
      </c>
      <c r="B46" s="27">
        <v>2866.95</v>
      </c>
      <c r="C46" s="5"/>
      <c r="D46" s="5">
        <f t="shared" si="7"/>
        <v>2866.95</v>
      </c>
      <c r="E46" s="5">
        <f t="shared" si="8"/>
        <v>3822.6</v>
      </c>
      <c r="F46" s="31">
        <f t="shared" si="9"/>
        <v>0.25000000000000006</v>
      </c>
      <c r="H46" s="27">
        <v>4308.4740000000002</v>
      </c>
      <c r="I46" s="5"/>
      <c r="J46" s="5">
        <f t="shared" si="12"/>
        <v>4308.4740000000002</v>
      </c>
      <c r="K46" s="5">
        <f t="shared" si="10"/>
        <v>5744.6320000000005</v>
      </c>
      <c r="L46" s="31">
        <f t="shared" si="11"/>
        <v>0.25000000000000006</v>
      </c>
    </row>
    <row r="47" spans="1:12">
      <c r="A47">
        <v>450</v>
      </c>
      <c r="B47" s="27">
        <v>4754.2919999999995</v>
      </c>
      <c r="C47" s="5"/>
      <c r="D47" s="5">
        <f t="shared" si="7"/>
        <v>4754.2919999999995</v>
      </c>
      <c r="E47" s="5">
        <f t="shared" si="8"/>
        <v>6339.0559999999996</v>
      </c>
      <c r="F47" s="31">
        <f t="shared" si="9"/>
        <v>0.25000000000000006</v>
      </c>
      <c r="H47" s="27">
        <v>6465.8580000000002</v>
      </c>
      <c r="I47" s="5"/>
      <c r="J47" s="5">
        <f t="shared" si="12"/>
        <v>6465.8580000000002</v>
      </c>
      <c r="K47" s="5">
        <f t="shared" si="10"/>
        <v>8621.1440000000002</v>
      </c>
      <c r="L47" s="31">
        <f t="shared" si="11"/>
        <v>0.25</v>
      </c>
    </row>
    <row r="48" spans="1:12">
      <c r="A48">
        <v>500</v>
      </c>
      <c r="B48" s="27">
        <v>5798.4539999999997</v>
      </c>
      <c r="C48" s="5"/>
      <c r="D48" s="5">
        <f t="shared" si="7"/>
        <v>5798.4539999999997</v>
      </c>
      <c r="E48" s="5">
        <f t="shared" si="8"/>
        <v>7731.2719999999999</v>
      </c>
      <c r="F48" s="31">
        <f t="shared" si="9"/>
        <v>0.25000000000000006</v>
      </c>
      <c r="H48" s="27">
        <v>8209.68</v>
      </c>
      <c r="I48" s="5"/>
      <c r="J48" s="5">
        <f t="shared" si="12"/>
        <v>8209.68</v>
      </c>
      <c r="K48" s="5">
        <f t="shared" si="10"/>
        <v>10946.24</v>
      </c>
      <c r="L48" s="31">
        <f t="shared" si="11"/>
        <v>0.24999999999999997</v>
      </c>
    </row>
    <row r="49" spans="1:12">
      <c r="A49">
        <v>560</v>
      </c>
      <c r="B49" s="27">
        <v>7945.6439999999993</v>
      </c>
      <c r="C49" s="5"/>
      <c r="D49" s="5">
        <f t="shared" si="7"/>
        <v>7945.6439999999993</v>
      </c>
      <c r="E49" s="5">
        <f t="shared" si="8"/>
        <v>10594.191999999999</v>
      </c>
      <c r="F49" s="31">
        <f t="shared" si="9"/>
        <v>0.25</v>
      </c>
      <c r="H49" s="27">
        <v>11238.036</v>
      </c>
      <c r="I49" s="5"/>
      <c r="J49" s="5">
        <f t="shared" si="12"/>
        <v>11238.036</v>
      </c>
      <c r="K49" s="5">
        <f t="shared" si="10"/>
        <v>14984.048000000001</v>
      </c>
      <c r="L49" s="31">
        <f t="shared" si="11"/>
        <v>0.25000000000000006</v>
      </c>
    </row>
    <row r="50" spans="1:12">
      <c r="A50">
        <v>630</v>
      </c>
      <c r="B50" s="27">
        <v>10463.021999999999</v>
      </c>
      <c r="C50" s="5"/>
      <c r="D50" s="5">
        <f t="shared" si="7"/>
        <v>10463.021999999999</v>
      </c>
      <c r="E50" s="5">
        <f t="shared" si="8"/>
        <v>13950.695999999998</v>
      </c>
      <c r="F50" s="31">
        <f t="shared" si="9"/>
        <v>0.24999999999999997</v>
      </c>
      <c r="H50" s="27">
        <v>18346.415999999997</v>
      </c>
      <c r="I50" s="5"/>
      <c r="J50" s="5">
        <f t="shared" si="12"/>
        <v>18346.415999999997</v>
      </c>
      <c r="K50" s="5">
        <f t="shared" si="10"/>
        <v>24461.887999999995</v>
      </c>
      <c r="L50" s="31">
        <f t="shared" si="11"/>
        <v>0.24999999999999997</v>
      </c>
    </row>
    <row r="54" spans="1:1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P11" sqref="P11"/>
    </sheetView>
  </sheetViews>
  <sheetFormatPr defaultRowHeight="15"/>
  <cols>
    <col min="2" max="2" width="11.85546875" bestFit="1" customWidth="1"/>
    <col min="9" max="9" width="11.85546875" bestFit="1" customWidth="1"/>
  </cols>
  <sheetData>
    <row r="1" spans="1:13" ht="48.75" customHeight="1">
      <c r="B1" s="177" t="s">
        <v>46</v>
      </c>
      <c r="C1" s="178"/>
      <c r="D1" s="178"/>
      <c r="E1" s="178"/>
      <c r="F1" s="178"/>
      <c r="G1" s="178"/>
      <c r="H1" s="178"/>
      <c r="I1" s="178"/>
      <c r="J1" s="179"/>
    </row>
    <row r="2" spans="1:13" ht="15.75" thickBot="1"/>
    <row r="3" spans="1:13" ht="45.75" thickBot="1">
      <c r="B3" s="42" t="s">
        <v>47</v>
      </c>
      <c r="C3" s="43" t="s">
        <v>41</v>
      </c>
      <c r="D3" s="43" t="s">
        <v>42</v>
      </c>
      <c r="E3" s="43"/>
      <c r="F3" s="44"/>
      <c r="I3" s="45" t="s">
        <v>47</v>
      </c>
      <c r="J3" s="43" t="s">
        <v>43</v>
      </c>
      <c r="K3" s="43" t="s">
        <v>44</v>
      </c>
      <c r="L3" s="43"/>
      <c r="M3" s="44"/>
    </row>
    <row r="4" spans="1:13" ht="15.75" thickBot="1">
      <c r="B4" s="37" t="s">
        <v>40</v>
      </c>
      <c r="C4" s="38" t="s">
        <v>7</v>
      </c>
      <c r="D4" s="38" t="s">
        <v>8</v>
      </c>
      <c r="E4" s="38" t="s">
        <v>9</v>
      </c>
      <c r="F4" s="39" t="s">
        <v>36</v>
      </c>
      <c r="I4" s="37" t="s">
        <v>40</v>
      </c>
      <c r="J4" s="38" t="s">
        <v>7</v>
      </c>
      <c r="K4" s="38" t="s">
        <v>8</v>
      </c>
      <c r="L4" s="38" t="s">
        <v>9</v>
      </c>
      <c r="M4" s="39" t="s">
        <v>36</v>
      </c>
    </row>
    <row r="5" spans="1:13">
      <c r="A5" t="s">
        <v>20</v>
      </c>
      <c r="B5" s="36"/>
      <c r="C5" s="23"/>
      <c r="D5" s="23"/>
      <c r="E5" s="23"/>
      <c r="F5" s="30"/>
      <c r="H5" t="s">
        <v>20</v>
      </c>
      <c r="I5" s="36"/>
      <c r="J5" s="23"/>
      <c r="K5" s="23"/>
      <c r="L5" s="23"/>
      <c r="M5" s="30"/>
    </row>
    <row r="6" spans="1:13">
      <c r="A6">
        <v>63</v>
      </c>
      <c r="B6" s="27">
        <v>34.128</v>
      </c>
      <c r="C6" s="5"/>
      <c r="D6" s="5">
        <f>B6</f>
        <v>34.128</v>
      </c>
      <c r="E6" s="5">
        <f>D6/0.75</f>
        <v>45.503999999999998</v>
      </c>
      <c r="F6" s="31">
        <f>(E6-D6)/E6</f>
        <v>0.24999999999999997</v>
      </c>
      <c r="H6">
        <v>63</v>
      </c>
      <c r="I6" s="27">
        <v>51.222000000000001</v>
      </c>
      <c r="J6" s="5">
        <v>23.25</v>
      </c>
      <c r="K6" s="5">
        <f>I6+J6/2</f>
        <v>62.847000000000001</v>
      </c>
      <c r="L6" s="5">
        <f>K6/0.75</f>
        <v>83.796000000000006</v>
      </c>
      <c r="M6" s="31">
        <f>(L6-K6)/L6</f>
        <v>0.25000000000000006</v>
      </c>
    </row>
    <row r="7" spans="1:13">
      <c r="A7">
        <v>75</v>
      </c>
      <c r="B7" s="27">
        <v>64.037999999999997</v>
      </c>
      <c r="C7" s="5"/>
      <c r="D7" s="5">
        <f t="shared" ref="D7:D24" si="0">B7</f>
        <v>64.037999999999997</v>
      </c>
      <c r="E7" s="5">
        <f t="shared" ref="E7:E24" si="1">D7/0.75</f>
        <v>85.384</v>
      </c>
      <c r="F7" s="31">
        <f t="shared" ref="F7:F24" si="2">(E7-D7)/E7</f>
        <v>0.25000000000000006</v>
      </c>
      <c r="H7">
        <v>75</v>
      </c>
      <c r="I7" s="27">
        <v>84.882000000000005</v>
      </c>
      <c r="J7" s="5">
        <v>39.75</v>
      </c>
      <c r="K7" s="5">
        <f t="shared" ref="K7:K24" si="3">I7+J7/2</f>
        <v>104.75700000000001</v>
      </c>
      <c r="L7" s="5">
        <f t="shared" ref="L7:L24" si="4">K7/0.75</f>
        <v>139.67600000000002</v>
      </c>
      <c r="M7" s="31">
        <f t="shared" ref="M7:M24" si="5">(L7-K7)/L7</f>
        <v>0.25000000000000006</v>
      </c>
    </row>
    <row r="8" spans="1:13">
      <c r="A8">
        <v>90</v>
      </c>
      <c r="B8" s="27">
        <v>95.304000000000002</v>
      </c>
      <c r="C8" s="5"/>
      <c r="D8" s="5">
        <f t="shared" si="0"/>
        <v>95.304000000000002</v>
      </c>
      <c r="E8" s="5">
        <f t="shared" si="1"/>
        <v>127.072</v>
      </c>
      <c r="F8" s="31">
        <f t="shared" si="2"/>
        <v>0.25</v>
      </c>
      <c r="H8">
        <v>90</v>
      </c>
      <c r="I8" s="27">
        <v>129.762</v>
      </c>
      <c r="J8" s="5">
        <v>63</v>
      </c>
      <c r="K8" s="5">
        <f t="shared" si="3"/>
        <v>161.262</v>
      </c>
      <c r="L8" s="5">
        <f t="shared" si="4"/>
        <v>215.01599999999999</v>
      </c>
      <c r="M8" s="31">
        <f t="shared" si="5"/>
        <v>0.24999999999999997</v>
      </c>
    </row>
    <row r="9" spans="1:13">
      <c r="A9">
        <v>110</v>
      </c>
      <c r="B9" s="27">
        <v>155.39400000000001</v>
      </c>
      <c r="C9" s="5"/>
      <c r="D9" s="5">
        <f t="shared" si="0"/>
        <v>155.39400000000001</v>
      </c>
      <c r="E9" s="5">
        <f t="shared" si="1"/>
        <v>207.19200000000001</v>
      </c>
      <c r="F9" s="31">
        <f t="shared" si="2"/>
        <v>0.25</v>
      </c>
      <c r="H9">
        <v>110</v>
      </c>
      <c r="I9" s="27">
        <v>202.578</v>
      </c>
      <c r="J9" s="5">
        <v>102</v>
      </c>
      <c r="K9" s="5">
        <f t="shared" si="3"/>
        <v>253.578</v>
      </c>
      <c r="L9" s="5">
        <f t="shared" si="4"/>
        <v>338.10399999999998</v>
      </c>
      <c r="M9" s="31">
        <f t="shared" si="5"/>
        <v>0.24999999999999994</v>
      </c>
    </row>
    <row r="10" spans="1:13">
      <c r="A10">
        <v>125</v>
      </c>
      <c r="B10" s="27">
        <v>227.46</v>
      </c>
      <c r="C10" s="5"/>
      <c r="D10" s="5">
        <f t="shared" si="0"/>
        <v>227.46</v>
      </c>
      <c r="E10" s="5">
        <f t="shared" si="1"/>
        <v>303.28000000000003</v>
      </c>
      <c r="F10" s="31">
        <f t="shared" si="2"/>
        <v>0.25000000000000006</v>
      </c>
      <c r="H10">
        <v>125</v>
      </c>
      <c r="I10" s="27">
        <v>297.08399999999995</v>
      </c>
      <c r="J10" s="5">
        <v>141</v>
      </c>
      <c r="K10" s="5">
        <f t="shared" si="3"/>
        <v>367.58399999999995</v>
      </c>
      <c r="L10" s="5">
        <f t="shared" si="4"/>
        <v>490.11199999999991</v>
      </c>
      <c r="M10" s="31">
        <f t="shared" si="5"/>
        <v>0.24999999999999997</v>
      </c>
    </row>
    <row r="11" spans="1:13">
      <c r="A11">
        <v>140</v>
      </c>
      <c r="B11" s="27">
        <v>309.14999999999998</v>
      </c>
      <c r="C11" s="5"/>
      <c r="D11" s="5">
        <f t="shared" si="0"/>
        <v>309.14999999999998</v>
      </c>
      <c r="E11" s="5">
        <f t="shared" si="1"/>
        <v>412.2</v>
      </c>
      <c r="F11" s="31">
        <f t="shared" si="2"/>
        <v>0.25000000000000006</v>
      </c>
      <c r="H11">
        <v>140</v>
      </c>
      <c r="I11" s="27">
        <v>416.42399999999998</v>
      </c>
      <c r="J11" s="5"/>
      <c r="K11" s="5">
        <f t="shared" si="3"/>
        <v>416.42399999999998</v>
      </c>
      <c r="L11" s="5">
        <f t="shared" si="4"/>
        <v>555.23199999999997</v>
      </c>
      <c r="M11" s="31">
        <f t="shared" si="5"/>
        <v>0.25</v>
      </c>
    </row>
    <row r="12" spans="1:13">
      <c r="A12">
        <v>160</v>
      </c>
      <c r="B12" s="27">
        <v>329.94599999999997</v>
      </c>
      <c r="C12" s="5"/>
      <c r="D12" s="5">
        <f t="shared" si="0"/>
        <v>329.94599999999997</v>
      </c>
      <c r="E12" s="5">
        <f t="shared" si="1"/>
        <v>439.92799999999994</v>
      </c>
      <c r="F12" s="31">
        <f t="shared" si="2"/>
        <v>0.24999999999999997</v>
      </c>
      <c r="H12">
        <v>160</v>
      </c>
      <c r="I12" s="27">
        <v>454.87799999999999</v>
      </c>
      <c r="J12" s="5">
        <v>225</v>
      </c>
      <c r="K12" s="5">
        <f t="shared" si="3"/>
        <v>567.37799999999993</v>
      </c>
      <c r="L12" s="5">
        <f t="shared" si="4"/>
        <v>756.50399999999991</v>
      </c>
      <c r="M12" s="31">
        <f t="shared" si="5"/>
        <v>0.25</v>
      </c>
    </row>
    <row r="13" spans="1:13">
      <c r="A13">
        <v>180</v>
      </c>
      <c r="B13" s="27">
        <v>640.69200000000001</v>
      </c>
      <c r="C13" s="5"/>
      <c r="D13" s="5">
        <f t="shared" si="0"/>
        <v>640.69200000000001</v>
      </c>
      <c r="E13" s="5">
        <f t="shared" si="1"/>
        <v>854.25599999999997</v>
      </c>
      <c r="F13" s="31">
        <f t="shared" si="2"/>
        <v>0.24999999999999997</v>
      </c>
      <c r="H13">
        <v>180</v>
      </c>
      <c r="I13" s="27">
        <v>868.90800000000002</v>
      </c>
      <c r="J13" s="5">
        <v>345</v>
      </c>
      <c r="K13" s="5">
        <f t="shared" si="3"/>
        <v>1041.4079999999999</v>
      </c>
      <c r="L13" s="5">
        <f t="shared" si="4"/>
        <v>1388.5439999999999</v>
      </c>
      <c r="M13" s="31">
        <f t="shared" si="5"/>
        <v>0.25</v>
      </c>
    </row>
    <row r="14" spans="1:13">
      <c r="A14">
        <v>200</v>
      </c>
      <c r="B14" s="27">
        <v>640.69200000000001</v>
      </c>
      <c r="C14" s="5"/>
      <c r="D14" s="5">
        <f t="shared" si="0"/>
        <v>640.69200000000001</v>
      </c>
      <c r="E14" s="5">
        <f t="shared" si="1"/>
        <v>854.25599999999997</v>
      </c>
      <c r="F14" s="31">
        <f t="shared" si="2"/>
        <v>0.24999999999999997</v>
      </c>
      <c r="H14">
        <v>200</v>
      </c>
      <c r="I14" s="27">
        <v>874.54199999999992</v>
      </c>
      <c r="J14" s="5">
        <v>450</v>
      </c>
      <c r="K14" s="5">
        <f t="shared" si="3"/>
        <v>1099.5419999999999</v>
      </c>
      <c r="L14" s="5">
        <f t="shared" si="4"/>
        <v>1466.0559999999998</v>
      </c>
      <c r="M14" s="31">
        <f t="shared" si="5"/>
        <v>0.24999999999999997</v>
      </c>
    </row>
    <row r="15" spans="1:13">
      <c r="A15">
        <v>225</v>
      </c>
      <c r="B15" s="27">
        <v>922.56599999999992</v>
      </c>
      <c r="C15" s="5"/>
      <c r="D15" s="5">
        <f t="shared" si="0"/>
        <v>922.56599999999992</v>
      </c>
      <c r="E15" s="5">
        <f t="shared" si="1"/>
        <v>1230.088</v>
      </c>
      <c r="F15" s="31">
        <f t="shared" si="2"/>
        <v>0.25000000000000006</v>
      </c>
      <c r="H15">
        <v>225</v>
      </c>
      <c r="I15" s="27">
        <v>1246.0859999999998</v>
      </c>
      <c r="J15" s="5">
        <v>664.5</v>
      </c>
      <c r="K15" s="5">
        <f t="shared" si="3"/>
        <v>1578.3359999999998</v>
      </c>
      <c r="L15" s="5">
        <f t="shared" si="4"/>
        <v>2104.4479999999999</v>
      </c>
      <c r="M15" s="31">
        <f t="shared" si="5"/>
        <v>0.25000000000000006</v>
      </c>
    </row>
    <row r="16" spans="1:13">
      <c r="A16">
        <v>250</v>
      </c>
      <c r="B16" s="27">
        <v>1457.49</v>
      </c>
      <c r="C16" s="5"/>
      <c r="D16" s="5">
        <f t="shared" si="0"/>
        <v>1457.49</v>
      </c>
      <c r="E16" s="5">
        <f t="shared" si="1"/>
        <v>1943.32</v>
      </c>
      <c r="F16" s="31">
        <f t="shared" si="2"/>
        <v>0.24999999999999997</v>
      </c>
      <c r="H16">
        <v>250</v>
      </c>
      <c r="I16" s="27">
        <v>1859.502</v>
      </c>
      <c r="J16" s="5">
        <v>875.25</v>
      </c>
      <c r="K16" s="5">
        <f t="shared" si="3"/>
        <v>2297.127</v>
      </c>
      <c r="L16" s="5">
        <f t="shared" si="4"/>
        <v>3062.8359999999998</v>
      </c>
      <c r="M16" s="31">
        <f t="shared" si="5"/>
        <v>0.24999999999999997</v>
      </c>
    </row>
    <row r="17" spans="1:13">
      <c r="A17">
        <v>280</v>
      </c>
      <c r="B17" s="27">
        <v>1938.0419999999999</v>
      </c>
      <c r="C17" s="5"/>
      <c r="D17" s="5">
        <f t="shared" si="0"/>
        <v>1938.0419999999999</v>
      </c>
      <c r="E17" s="5">
        <f t="shared" si="1"/>
        <v>2584.056</v>
      </c>
      <c r="F17" s="31">
        <f t="shared" si="2"/>
        <v>0.25000000000000006</v>
      </c>
      <c r="H17">
        <v>280</v>
      </c>
      <c r="I17" s="27">
        <v>2722.8179999999998</v>
      </c>
      <c r="J17" s="5"/>
      <c r="K17" s="5">
        <f t="shared" si="3"/>
        <v>2722.8179999999998</v>
      </c>
      <c r="L17" s="5">
        <f t="shared" si="4"/>
        <v>3630.4239999999995</v>
      </c>
      <c r="M17" s="31">
        <f t="shared" si="5"/>
        <v>0.24999999999999997</v>
      </c>
    </row>
    <row r="18" spans="1:13">
      <c r="A18">
        <v>315</v>
      </c>
      <c r="B18" s="27">
        <v>2482.5419999999995</v>
      </c>
      <c r="C18" s="5"/>
      <c r="D18" s="5">
        <f t="shared" si="0"/>
        <v>2482.5419999999995</v>
      </c>
      <c r="E18" s="5">
        <f t="shared" si="1"/>
        <v>3310.0559999999991</v>
      </c>
      <c r="F18" s="31">
        <f t="shared" si="2"/>
        <v>0.24999999999999997</v>
      </c>
      <c r="H18">
        <v>315</v>
      </c>
      <c r="I18" s="27">
        <v>3507.6419999999998</v>
      </c>
      <c r="J18" s="5"/>
      <c r="K18" s="5">
        <f t="shared" si="3"/>
        <v>3507.6419999999998</v>
      </c>
      <c r="L18" s="5">
        <f t="shared" si="4"/>
        <v>4676.8559999999998</v>
      </c>
      <c r="M18" s="31">
        <f t="shared" si="5"/>
        <v>0.25</v>
      </c>
    </row>
    <row r="19" spans="1:13">
      <c r="A19">
        <v>355</v>
      </c>
      <c r="B19" s="27">
        <v>3443.6039999999998</v>
      </c>
      <c r="C19" s="5"/>
      <c r="D19" s="5">
        <f t="shared" si="0"/>
        <v>3443.6039999999998</v>
      </c>
      <c r="E19" s="5">
        <f t="shared" si="1"/>
        <v>4591.4719999999998</v>
      </c>
      <c r="F19" s="31">
        <f t="shared" si="2"/>
        <v>0.25</v>
      </c>
      <c r="H19">
        <v>355</v>
      </c>
      <c r="I19" s="27">
        <v>5548.7819999999992</v>
      </c>
      <c r="J19" s="5"/>
      <c r="K19" s="5">
        <f t="shared" si="3"/>
        <v>5548.7819999999992</v>
      </c>
      <c r="L19" s="5">
        <f t="shared" si="4"/>
        <v>7398.3759999999993</v>
      </c>
      <c r="M19" s="31">
        <f t="shared" si="5"/>
        <v>0.25000000000000006</v>
      </c>
    </row>
    <row r="20" spans="1:13">
      <c r="A20">
        <v>400</v>
      </c>
      <c r="B20" s="27">
        <v>4700.91</v>
      </c>
      <c r="C20" s="5"/>
      <c r="D20" s="5">
        <f t="shared" si="0"/>
        <v>4700.91</v>
      </c>
      <c r="E20" s="5">
        <f t="shared" si="1"/>
        <v>6267.88</v>
      </c>
      <c r="F20" s="31">
        <f t="shared" si="2"/>
        <v>0.25000000000000006</v>
      </c>
      <c r="H20">
        <v>400</v>
      </c>
      <c r="I20" s="27">
        <v>5685.8700000000008</v>
      </c>
      <c r="J20" s="5"/>
      <c r="K20" s="5">
        <f t="shared" si="3"/>
        <v>5685.8700000000008</v>
      </c>
      <c r="L20" s="5">
        <f t="shared" si="4"/>
        <v>7581.1600000000008</v>
      </c>
      <c r="M20" s="31">
        <f t="shared" si="5"/>
        <v>0.24999999999999997</v>
      </c>
    </row>
    <row r="21" spans="1:13">
      <c r="A21">
        <v>450</v>
      </c>
      <c r="B21" s="27">
        <v>8209.68</v>
      </c>
      <c r="C21" s="5"/>
      <c r="D21" s="5">
        <f t="shared" si="0"/>
        <v>8209.68</v>
      </c>
      <c r="E21" s="5">
        <f t="shared" si="1"/>
        <v>10946.24</v>
      </c>
      <c r="F21" s="31">
        <f t="shared" si="2"/>
        <v>0.24999999999999997</v>
      </c>
      <c r="H21">
        <v>450</v>
      </c>
      <c r="I21" s="27">
        <v>12874.253999999999</v>
      </c>
      <c r="J21" s="5"/>
      <c r="K21" s="5">
        <f t="shared" si="3"/>
        <v>12874.253999999999</v>
      </c>
      <c r="L21" s="5">
        <f t="shared" si="4"/>
        <v>17165.671999999999</v>
      </c>
      <c r="M21" s="31">
        <f t="shared" si="5"/>
        <v>0.25</v>
      </c>
    </row>
    <row r="22" spans="1:13">
      <c r="A22">
        <v>500</v>
      </c>
      <c r="B22" s="27">
        <v>10821.846</v>
      </c>
      <c r="C22" s="5"/>
      <c r="D22" s="5">
        <f t="shared" si="0"/>
        <v>10821.846</v>
      </c>
      <c r="E22" s="5">
        <f t="shared" si="1"/>
        <v>14429.127999999999</v>
      </c>
      <c r="F22" s="31">
        <f t="shared" si="2"/>
        <v>0.24999999999999997</v>
      </c>
      <c r="H22">
        <v>500</v>
      </c>
      <c r="I22" s="27">
        <v>13807.145999999999</v>
      </c>
      <c r="J22" s="5"/>
      <c r="K22" s="5">
        <f t="shared" si="3"/>
        <v>13807.145999999999</v>
      </c>
      <c r="L22" s="5">
        <f t="shared" si="4"/>
        <v>18409.527999999998</v>
      </c>
      <c r="M22" s="31">
        <f t="shared" si="5"/>
        <v>0.25</v>
      </c>
    </row>
    <row r="23" spans="1:13">
      <c r="A23">
        <v>560</v>
      </c>
      <c r="B23" s="27">
        <v>14926.662</v>
      </c>
      <c r="C23" s="5"/>
      <c r="D23" s="5">
        <f t="shared" si="0"/>
        <v>14926.662</v>
      </c>
      <c r="E23" s="5">
        <f t="shared" si="1"/>
        <v>19902.216</v>
      </c>
      <c r="F23" s="31">
        <f t="shared" si="2"/>
        <v>0.25</v>
      </c>
      <c r="H23">
        <v>560</v>
      </c>
      <c r="I23" s="27">
        <v>18988.428</v>
      </c>
      <c r="J23" s="5"/>
      <c r="K23" s="5">
        <f t="shared" si="3"/>
        <v>18988.428</v>
      </c>
      <c r="L23" s="5">
        <f t="shared" si="4"/>
        <v>25317.903999999999</v>
      </c>
      <c r="M23" s="31">
        <f t="shared" si="5"/>
        <v>0.24999999999999997</v>
      </c>
    </row>
    <row r="24" spans="1:13">
      <c r="A24">
        <v>630</v>
      </c>
      <c r="B24" s="27">
        <v>16657.572</v>
      </c>
      <c r="C24" s="5"/>
      <c r="D24" s="5">
        <f t="shared" si="0"/>
        <v>16657.572</v>
      </c>
      <c r="E24" s="5">
        <f t="shared" si="1"/>
        <v>22210.096000000001</v>
      </c>
      <c r="F24" s="31">
        <f t="shared" si="2"/>
        <v>0.25000000000000006</v>
      </c>
      <c r="H24">
        <v>630</v>
      </c>
      <c r="I24" s="27">
        <v>25188.75</v>
      </c>
      <c r="J24" s="5"/>
      <c r="K24" s="5">
        <f t="shared" si="3"/>
        <v>25188.75</v>
      </c>
      <c r="L24" s="5">
        <f t="shared" si="4"/>
        <v>33585</v>
      </c>
      <c r="M24" s="31">
        <f t="shared" si="5"/>
        <v>0.25</v>
      </c>
    </row>
  </sheetData>
  <mergeCells count="1">
    <mergeCell ref="B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2"/>
  <sheetViews>
    <sheetView tabSelected="1" workbookViewId="0">
      <selection activeCell="L5" sqref="L5:L23"/>
    </sheetView>
  </sheetViews>
  <sheetFormatPr defaultColWidth="9.140625" defaultRowHeight="12.75"/>
  <cols>
    <col min="1" max="2" width="13.5703125" style="62" customWidth="1"/>
    <col min="3" max="3" width="17.28515625" style="62" hidden="1" customWidth="1"/>
    <col min="4" max="4" width="13.5703125" style="64" hidden="1" customWidth="1"/>
    <col min="5" max="5" width="13.5703125" style="120" hidden="1" customWidth="1"/>
    <col min="6" max="6" width="13.5703125" style="61" hidden="1" customWidth="1"/>
    <col min="7" max="7" width="13.5703125" style="61" customWidth="1"/>
    <col min="8" max="9" width="13.5703125" style="62" hidden="1" customWidth="1"/>
    <col min="10" max="10" width="13.5703125" style="120" hidden="1" customWidth="1"/>
    <col min="11" max="11" width="13.5703125" style="61" hidden="1" customWidth="1"/>
    <col min="12" max="12" width="13.5703125" style="61" customWidth="1"/>
    <col min="13" max="13" width="13.5703125" style="62" customWidth="1"/>
    <col min="14" max="14" width="51.7109375" style="62" customWidth="1"/>
    <col min="15" max="18" width="13.5703125" style="62" hidden="1" customWidth="1"/>
    <col min="19" max="19" width="28.5703125" style="63" customWidth="1"/>
    <col min="20" max="20" width="11.42578125" style="62" customWidth="1"/>
    <col min="21" max="21" width="13.5703125" style="62" customWidth="1"/>
    <col min="22" max="24" width="13.5703125" style="62" hidden="1" customWidth="1"/>
    <col min="25" max="25" width="12.85546875" style="62" hidden="1" customWidth="1"/>
    <col min="26" max="26" width="12.85546875" style="61" hidden="1" customWidth="1"/>
    <col min="27" max="27" width="12.85546875" style="61" customWidth="1"/>
    <col min="28" max="16384" width="9.140625" style="62"/>
  </cols>
  <sheetData>
    <row r="1" spans="1:25" ht="15.75" customHeight="1" thickBot="1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</row>
    <row r="2" spans="1:25" ht="39" customHeight="1" thickBot="1">
      <c r="A2" s="181" t="s">
        <v>48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3"/>
    </row>
    <row r="3" spans="1:25" ht="15.75" customHeight="1">
      <c r="A3" s="184" t="s">
        <v>49</v>
      </c>
      <c r="B3" s="185"/>
      <c r="C3" s="188" t="s">
        <v>50</v>
      </c>
      <c r="D3" s="189"/>
      <c r="E3" s="189"/>
      <c r="F3" s="189"/>
      <c r="G3" s="190"/>
      <c r="H3" s="188" t="s">
        <v>51</v>
      </c>
      <c r="I3" s="189"/>
      <c r="J3" s="189"/>
      <c r="K3" s="189"/>
      <c r="L3" s="191"/>
      <c r="N3" s="62" t="s">
        <v>1045</v>
      </c>
      <c r="S3" s="63" t="s">
        <v>1054</v>
      </c>
      <c r="T3" s="62" t="s">
        <v>1055</v>
      </c>
      <c r="U3" s="62" t="s">
        <v>1056</v>
      </c>
    </row>
    <row r="4" spans="1:25" ht="15.75" customHeight="1">
      <c r="A4" s="186"/>
      <c r="B4" s="187"/>
      <c r="C4" s="46" t="s">
        <v>52</v>
      </c>
      <c r="D4" s="47" t="s">
        <v>53</v>
      </c>
      <c r="E4" s="48"/>
      <c r="F4" s="49"/>
      <c r="G4" s="49"/>
      <c r="H4" s="46" t="s">
        <v>52</v>
      </c>
      <c r="I4" s="46" t="s">
        <v>53</v>
      </c>
      <c r="J4" s="48"/>
      <c r="K4" s="49"/>
      <c r="L4" s="50"/>
    </row>
    <row r="5" spans="1:25" ht="12.6" customHeight="1">
      <c r="A5" s="192" t="s">
        <v>54</v>
      </c>
      <c r="B5" s="193"/>
      <c r="C5" s="46" t="s">
        <v>55</v>
      </c>
      <c r="D5" s="51">
        <v>49.37</v>
      </c>
      <c r="E5" s="52">
        <v>0.4</v>
      </c>
      <c r="F5" s="53">
        <f>(D5*E5)</f>
        <v>19.748000000000001</v>
      </c>
      <c r="G5" s="53">
        <f>D5-F5</f>
        <v>29.621999999999996</v>
      </c>
      <c r="H5" s="46" t="s">
        <v>56</v>
      </c>
      <c r="I5" s="53">
        <v>65.41</v>
      </c>
      <c r="J5" s="52">
        <v>0.4</v>
      </c>
      <c r="K5" s="53">
        <f>(I5*J5)</f>
        <v>26.164000000000001</v>
      </c>
      <c r="L5" s="54">
        <f>I5-K5</f>
        <v>39.245999999999995</v>
      </c>
      <c r="N5" s="62" t="str">
        <f>"90&amp;deg; ELBOW - PE100 MOULDED SDR11 " &amp; A5</f>
        <v>90&amp;deg; ELBOW - PE100 MOULDED SDR11 63mm</v>
      </c>
      <c r="O5" s="64"/>
      <c r="S5" s="293" t="str">
        <f>A5</f>
        <v>63mm</v>
      </c>
      <c r="T5" s="62">
        <v>5</v>
      </c>
      <c r="U5" s="61">
        <f>G5</f>
        <v>29.621999999999996</v>
      </c>
    </row>
    <row r="6" spans="1:25" ht="12.6" customHeight="1">
      <c r="A6" s="192" t="s">
        <v>57</v>
      </c>
      <c r="B6" s="193"/>
      <c r="C6" s="46" t="s">
        <v>58</v>
      </c>
      <c r="D6" s="51">
        <v>84.04</v>
      </c>
      <c r="E6" s="52">
        <v>0.4</v>
      </c>
      <c r="F6" s="53">
        <f t="shared" ref="F6:F23" si="0">(D6*E6)</f>
        <v>33.616000000000007</v>
      </c>
      <c r="G6" s="53">
        <f t="shared" ref="G6:G23" si="1">D6-F6</f>
        <v>50.423999999999999</v>
      </c>
      <c r="H6" s="46" t="s">
        <v>59</v>
      </c>
      <c r="I6" s="53">
        <v>113.46</v>
      </c>
      <c r="J6" s="52">
        <v>0.4</v>
      </c>
      <c r="K6" s="53">
        <f t="shared" ref="K6:K23" si="2">(I6*J6)</f>
        <v>45.384</v>
      </c>
      <c r="L6" s="54">
        <f t="shared" ref="L6:L23" si="3">I6-K6</f>
        <v>68.075999999999993</v>
      </c>
      <c r="N6" s="62" t="str">
        <f t="shared" ref="N6:N23" si="4">"90&amp;deg; ELBOW - PE100 MOULDED SDR11 " &amp; A6</f>
        <v>90&amp;deg; ELBOW - PE100 MOULDED SDR11 75mm</v>
      </c>
      <c r="S6" s="293" t="str">
        <f t="shared" ref="S6:S23" si="5">A6</f>
        <v>75mm</v>
      </c>
      <c r="T6" s="62">
        <v>5</v>
      </c>
      <c r="U6" s="61">
        <f t="shared" ref="U6:U23" si="6">G6</f>
        <v>50.423999999999999</v>
      </c>
    </row>
    <row r="7" spans="1:25" ht="12.6" customHeight="1">
      <c r="A7" s="192" t="s">
        <v>60</v>
      </c>
      <c r="B7" s="193"/>
      <c r="C7" s="46" t="s">
        <v>61</v>
      </c>
      <c r="D7" s="51">
        <v>126.76</v>
      </c>
      <c r="E7" s="52">
        <v>0.4</v>
      </c>
      <c r="F7" s="53">
        <f t="shared" si="0"/>
        <v>50.704000000000008</v>
      </c>
      <c r="G7" s="53">
        <f t="shared" si="1"/>
        <v>76.055999999999997</v>
      </c>
      <c r="H7" s="46" t="s">
        <v>62</v>
      </c>
      <c r="I7" s="53">
        <v>165.49</v>
      </c>
      <c r="J7" s="52">
        <v>0.4</v>
      </c>
      <c r="K7" s="53">
        <f t="shared" si="2"/>
        <v>66.196000000000012</v>
      </c>
      <c r="L7" s="54">
        <f t="shared" si="3"/>
        <v>99.293999999999997</v>
      </c>
      <c r="N7" s="62" t="str">
        <f t="shared" si="4"/>
        <v>90&amp;deg; ELBOW - PE100 MOULDED SDR11 90mm</v>
      </c>
      <c r="S7" s="293" t="str">
        <f t="shared" si="5"/>
        <v>90mm</v>
      </c>
      <c r="T7" s="62">
        <v>5</v>
      </c>
      <c r="U7" s="61">
        <f t="shared" si="6"/>
        <v>76.055999999999997</v>
      </c>
    </row>
    <row r="8" spans="1:25" ht="12.6" customHeight="1">
      <c r="A8" s="192" t="s">
        <v>63</v>
      </c>
      <c r="B8" s="193"/>
      <c r="C8" s="46" t="s">
        <v>64</v>
      </c>
      <c r="D8" s="51">
        <v>201.48</v>
      </c>
      <c r="E8" s="52">
        <v>0.4</v>
      </c>
      <c r="F8" s="53">
        <f t="shared" si="0"/>
        <v>80.591999999999999</v>
      </c>
      <c r="G8" s="53">
        <f t="shared" si="1"/>
        <v>120.88799999999999</v>
      </c>
      <c r="H8" s="46" t="s">
        <v>65</v>
      </c>
      <c r="I8" s="53">
        <v>273.63</v>
      </c>
      <c r="J8" s="52">
        <v>0.4</v>
      </c>
      <c r="K8" s="53">
        <f t="shared" si="2"/>
        <v>109.452</v>
      </c>
      <c r="L8" s="54">
        <f t="shared" si="3"/>
        <v>164.178</v>
      </c>
      <c r="N8" s="62" t="str">
        <f t="shared" si="4"/>
        <v>90&amp;deg; ELBOW - PE100 MOULDED SDR11 110mm</v>
      </c>
      <c r="S8" s="293" t="str">
        <f t="shared" si="5"/>
        <v>110mm</v>
      </c>
      <c r="U8" s="61">
        <f t="shared" si="6"/>
        <v>120.88799999999999</v>
      </c>
    </row>
    <row r="9" spans="1:25" ht="12.6" customHeight="1">
      <c r="A9" s="192" t="s">
        <v>66</v>
      </c>
      <c r="B9" s="193"/>
      <c r="C9" s="46" t="s">
        <v>67</v>
      </c>
      <c r="D9" s="51">
        <v>302.97000000000003</v>
      </c>
      <c r="E9" s="52">
        <v>0.4</v>
      </c>
      <c r="F9" s="53">
        <f t="shared" si="0"/>
        <v>121.18800000000002</v>
      </c>
      <c r="G9" s="53">
        <f t="shared" si="1"/>
        <v>181.78200000000001</v>
      </c>
      <c r="H9" s="46" t="s">
        <v>68</v>
      </c>
      <c r="I9" s="53">
        <v>408.37</v>
      </c>
      <c r="J9" s="52">
        <v>0.4</v>
      </c>
      <c r="K9" s="53">
        <f t="shared" si="2"/>
        <v>163.34800000000001</v>
      </c>
      <c r="L9" s="54">
        <f t="shared" si="3"/>
        <v>245.02199999999999</v>
      </c>
      <c r="N9" s="62" t="str">
        <f t="shared" si="4"/>
        <v>90&amp;deg; ELBOW - PE100 MOULDED SDR11 125mm</v>
      </c>
      <c r="S9" s="293" t="str">
        <f t="shared" si="5"/>
        <v>125mm</v>
      </c>
      <c r="U9" s="61">
        <f t="shared" si="6"/>
        <v>181.78200000000001</v>
      </c>
    </row>
    <row r="10" spans="1:25" ht="12.6" customHeight="1">
      <c r="A10" s="192" t="s">
        <v>69</v>
      </c>
      <c r="B10" s="193"/>
      <c r="C10" s="46" t="s">
        <v>70</v>
      </c>
      <c r="D10" s="51">
        <v>355.08</v>
      </c>
      <c r="E10" s="52">
        <v>0.4</v>
      </c>
      <c r="F10" s="53">
        <f t="shared" si="0"/>
        <v>142.03200000000001</v>
      </c>
      <c r="G10" s="53">
        <f t="shared" si="1"/>
        <v>213.04799999999997</v>
      </c>
      <c r="H10" s="46" t="s">
        <v>71</v>
      </c>
      <c r="I10" s="53">
        <v>464.47</v>
      </c>
      <c r="J10" s="52">
        <v>0.4</v>
      </c>
      <c r="K10" s="53">
        <f t="shared" si="2"/>
        <v>185.78800000000001</v>
      </c>
      <c r="L10" s="54">
        <f t="shared" si="3"/>
        <v>278.68200000000002</v>
      </c>
      <c r="N10" s="62" t="str">
        <f t="shared" si="4"/>
        <v>90&amp;deg; ELBOW - PE100 MOULDED SDR11 140mm</v>
      </c>
      <c r="S10" s="293" t="str">
        <f t="shared" si="5"/>
        <v>140mm</v>
      </c>
      <c r="U10" s="61">
        <f t="shared" si="6"/>
        <v>213.04799999999997</v>
      </c>
    </row>
    <row r="11" spans="1:25" ht="12.6" customHeight="1">
      <c r="A11" s="192" t="s">
        <v>72</v>
      </c>
      <c r="B11" s="193"/>
      <c r="C11" s="46" t="s">
        <v>73</v>
      </c>
      <c r="D11" s="51">
        <v>468.54</v>
      </c>
      <c r="E11" s="52">
        <v>0.4</v>
      </c>
      <c r="F11" s="53">
        <f t="shared" si="0"/>
        <v>187.41600000000003</v>
      </c>
      <c r="G11" s="53">
        <f t="shared" si="1"/>
        <v>281.12400000000002</v>
      </c>
      <c r="H11" s="46" t="s">
        <v>74</v>
      </c>
      <c r="I11" s="53">
        <v>636.61</v>
      </c>
      <c r="J11" s="52">
        <v>0.4</v>
      </c>
      <c r="K11" s="53">
        <f t="shared" si="2"/>
        <v>254.64400000000001</v>
      </c>
      <c r="L11" s="54">
        <f t="shared" si="3"/>
        <v>381.96600000000001</v>
      </c>
      <c r="N11" s="62" t="str">
        <f t="shared" si="4"/>
        <v>90&amp;deg; ELBOW - PE100 MOULDED SDR11 160mm</v>
      </c>
      <c r="S11" s="293" t="str">
        <f t="shared" si="5"/>
        <v>160mm</v>
      </c>
      <c r="U11" s="61">
        <f t="shared" si="6"/>
        <v>281.12400000000002</v>
      </c>
    </row>
    <row r="12" spans="1:25" ht="12.6" customHeight="1">
      <c r="A12" s="192" t="s">
        <v>75</v>
      </c>
      <c r="B12" s="193"/>
      <c r="C12" s="46" t="s">
        <v>76</v>
      </c>
      <c r="D12" s="51">
        <v>680.66</v>
      </c>
      <c r="E12" s="52">
        <v>0.4</v>
      </c>
      <c r="F12" s="53">
        <f t="shared" si="0"/>
        <v>272.26400000000001</v>
      </c>
      <c r="G12" s="53">
        <f t="shared" si="1"/>
        <v>408.39599999999996</v>
      </c>
      <c r="H12" s="46" t="s">
        <v>77</v>
      </c>
      <c r="I12" s="53">
        <v>915.63</v>
      </c>
      <c r="J12" s="52">
        <v>0.4</v>
      </c>
      <c r="K12" s="53">
        <f t="shared" si="2"/>
        <v>366.25200000000001</v>
      </c>
      <c r="L12" s="54">
        <f t="shared" si="3"/>
        <v>549.37799999999993</v>
      </c>
      <c r="N12" s="62" t="str">
        <f t="shared" si="4"/>
        <v>90&amp;deg; ELBOW - PE100 MOULDED SDR11 180mm</v>
      </c>
      <c r="S12" s="293" t="str">
        <f t="shared" si="5"/>
        <v>180mm</v>
      </c>
      <c r="U12" s="61">
        <f t="shared" si="6"/>
        <v>408.39599999999996</v>
      </c>
    </row>
    <row r="13" spans="1:25" ht="12.6" customHeight="1">
      <c r="A13" s="192" t="s">
        <v>78</v>
      </c>
      <c r="B13" s="193"/>
      <c r="C13" s="46" t="s">
        <v>79</v>
      </c>
      <c r="D13" s="51">
        <v>888.87</v>
      </c>
      <c r="E13" s="52">
        <v>0.4</v>
      </c>
      <c r="F13" s="53">
        <f t="shared" si="0"/>
        <v>355.548</v>
      </c>
      <c r="G13" s="53">
        <f t="shared" si="1"/>
        <v>533.322</v>
      </c>
      <c r="H13" s="46" t="s">
        <v>80</v>
      </c>
      <c r="I13" s="53">
        <v>1183.94</v>
      </c>
      <c r="J13" s="52">
        <v>0.4</v>
      </c>
      <c r="K13" s="53">
        <f t="shared" si="2"/>
        <v>473.57600000000002</v>
      </c>
      <c r="L13" s="54">
        <f t="shared" si="3"/>
        <v>710.36400000000003</v>
      </c>
      <c r="N13" s="62" t="str">
        <f t="shared" si="4"/>
        <v>90&amp;deg; ELBOW - PE100 MOULDED SDR11 200mm</v>
      </c>
      <c r="S13" s="293" t="str">
        <f t="shared" si="5"/>
        <v>200mm</v>
      </c>
      <c r="U13" s="61">
        <f t="shared" si="6"/>
        <v>533.322</v>
      </c>
    </row>
    <row r="14" spans="1:25" ht="12.6" customHeight="1">
      <c r="A14" s="192" t="s">
        <v>81</v>
      </c>
      <c r="B14" s="193"/>
      <c r="C14" s="46" t="s">
        <v>82</v>
      </c>
      <c r="D14" s="51">
        <v>1358.74</v>
      </c>
      <c r="E14" s="52">
        <v>0.4</v>
      </c>
      <c r="F14" s="53">
        <f t="shared" si="0"/>
        <v>543.49599999999998</v>
      </c>
      <c r="G14" s="53">
        <f t="shared" si="1"/>
        <v>815.24400000000003</v>
      </c>
      <c r="H14" s="46" t="s">
        <v>83</v>
      </c>
      <c r="I14" s="53">
        <v>1903.26</v>
      </c>
      <c r="J14" s="52">
        <v>0.4</v>
      </c>
      <c r="K14" s="53">
        <f t="shared" si="2"/>
        <v>761.30400000000009</v>
      </c>
      <c r="L14" s="54">
        <f t="shared" si="3"/>
        <v>1141.9559999999999</v>
      </c>
      <c r="N14" s="62" t="str">
        <f t="shared" si="4"/>
        <v>90&amp;deg; ELBOW - PE100 MOULDED SDR11 225mm</v>
      </c>
      <c r="S14" s="293" t="str">
        <f t="shared" si="5"/>
        <v>225mm</v>
      </c>
      <c r="U14" s="61">
        <f t="shared" si="6"/>
        <v>815.24400000000003</v>
      </c>
    </row>
    <row r="15" spans="1:25" ht="12.6" customHeight="1">
      <c r="A15" s="192" t="s">
        <v>84</v>
      </c>
      <c r="B15" s="193"/>
      <c r="C15" s="46" t="s">
        <v>85</v>
      </c>
      <c r="D15" s="51">
        <v>1478.85</v>
      </c>
      <c r="E15" s="52">
        <v>0.4</v>
      </c>
      <c r="F15" s="53">
        <f t="shared" si="0"/>
        <v>591.54</v>
      </c>
      <c r="G15" s="53">
        <f t="shared" si="1"/>
        <v>887.31</v>
      </c>
      <c r="H15" s="46" t="s">
        <v>86</v>
      </c>
      <c r="I15" s="53">
        <v>2027.43</v>
      </c>
      <c r="J15" s="52">
        <v>0.4</v>
      </c>
      <c r="K15" s="53">
        <f t="shared" si="2"/>
        <v>810.97200000000009</v>
      </c>
      <c r="L15" s="54">
        <f t="shared" si="3"/>
        <v>1216.4580000000001</v>
      </c>
      <c r="N15" s="62" t="str">
        <f t="shared" si="4"/>
        <v>90&amp;deg; ELBOW - PE100 MOULDED SDR11 250mm</v>
      </c>
      <c r="S15" s="293" t="str">
        <f t="shared" si="5"/>
        <v>250mm</v>
      </c>
      <c r="U15" s="61">
        <f t="shared" si="6"/>
        <v>887.31</v>
      </c>
    </row>
    <row r="16" spans="1:25" ht="12.6" customHeight="1">
      <c r="A16" s="192" t="s">
        <v>87</v>
      </c>
      <c r="B16" s="193"/>
      <c r="C16" s="46" t="s">
        <v>88</v>
      </c>
      <c r="D16" s="51">
        <v>2242.37</v>
      </c>
      <c r="E16" s="52">
        <v>0.4</v>
      </c>
      <c r="F16" s="53">
        <f t="shared" si="0"/>
        <v>896.94799999999998</v>
      </c>
      <c r="G16" s="53">
        <f t="shared" si="1"/>
        <v>1345.422</v>
      </c>
      <c r="H16" s="46" t="s">
        <v>89</v>
      </c>
      <c r="I16" s="53">
        <v>3131.25</v>
      </c>
      <c r="J16" s="52">
        <v>0.4</v>
      </c>
      <c r="K16" s="53">
        <f t="shared" si="2"/>
        <v>1252.5</v>
      </c>
      <c r="L16" s="54">
        <f t="shared" si="3"/>
        <v>1878.75</v>
      </c>
      <c r="N16" s="62" t="str">
        <f t="shared" si="4"/>
        <v>90&amp;deg; ELBOW - PE100 MOULDED SDR11 280mm</v>
      </c>
      <c r="S16" s="293" t="str">
        <f t="shared" si="5"/>
        <v>280mm</v>
      </c>
      <c r="U16" s="61">
        <f t="shared" si="6"/>
        <v>1345.422</v>
      </c>
    </row>
    <row r="17" spans="1:21" ht="12.6" customHeight="1">
      <c r="A17" s="192" t="s">
        <v>90</v>
      </c>
      <c r="B17" s="193"/>
      <c r="C17" s="46" t="s">
        <v>91</v>
      </c>
      <c r="D17" s="51">
        <v>3037.82</v>
      </c>
      <c r="E17" s="52">
        <v>0.4</v>
      </c>
      <c r="F17" s="53">
        <f t="shared" si="0"/>
        <v>1215.1280000000002</v>
      </c>
      <c r="G17" s="53">
        <f t="shared" si="1"/>
        <v>1822.692</v>
      </c>
      <c r="H17" s="46" t="s">
        <v>92</v>
      </c>
      <c r="I17" s="53">
        <v>4038.9</v>
      </c>
      <c r="J17" s="52">
        <v>0.4</v>
      </c>
      <c r="K17" s="53">
        <f t="shared" si="2"/>
        <v>1615.5600000000002</v>
      </c>
      <c r="L17" s="54">
        <f t="shared" si="3"/>
        <v>2423.34</v>
      </c>
      <c r="N17" s="62" t="str">
        <f t="shared" si="4"/>
        <v>90&amp;deg; ELBOW - PE100 MOULDED SDR11 315mm</v>
      </c>
      <c r="S17" s="293" t="str">
        <f t="shared" si="5"/>
        <v>315mm</v>
      </c>
      <c r="U17" s="61">
        <f t="shared" si="6"/>
        <v>1822.692</v>
      </c>
    </row>
    <row r="18" spans="1:21" ht="12.6" customHeight="1">
      <c r="A18" s="192" t="s">
        <v>93</v>
      </c>
      <c r="B18" s="193"/>
      <c r="C18" s="46" t="s">
        <v>94</v>
      </c>
      <c r="D18" s="51">
        <v>5432.31</v>
      </c>
      <c r="E18" s="52">
        <v>0.4</v>
      </c>
      <c r="F18" s="53">
        <f t="shared" si="0"/>
        <v>2172.9240000000004</v>
      </c>
      <c r="G18" s="53">
        <f t="shared" si="1"/>
        <v>3259.386</v>
      </c>
      <c r="H18" s="46" t="s">
        <v>95</v>
      </c>
      <c r="I18" s="53">
        <v>7584.93</v>
      </c>
      <c r="J18" s="52">
        <v>0.4</v>
      </c>
      <c r="K18" s="53">
        <f t="shared" si="2"/>
        <v>3033.9720000000002</v>
      </c>
      <c r="L18" s="54">
        <f t="shared" si="3"/>
        <v>4550.9580000000005</v>
      </c>
      <c r="N18" s="62" t="str">
        <f t="shared" si="4"/>
        <v>90&amp;deg; ELBOW - PE100 MOULDED SDR11 355mm</v>
      </c>
      <c r="S18" s="293" t="str">
        <f t="shared" si="5"/>
        <v>355mm</v>
      </c>
      <c r="U18" s="61">
        <f t="shared" si="6"/>
        <v>3259.386</v>
      </c>
    </row>
    <row r="19" spans="1:21" ht="12.6" customHeight="1">
      <c r="A19" s="192" t="s">
        <v>96</v>
      </c>
      <c r="B19" s="193"/>
      <c r="C19" s="46" t="s">
        <v>97</v>
      </c>
      <c r="D19" s="51">
        <v>7300.9</v>
      </c>
      <c r="E19" s="52">
        <v>0.4</v>
      </c>
      <c r="F19" s="53">
        <f t="shared" si="0"/>
        <v>2920.36</v>
      </c>
      <c r="G19" s="53">
        <f t="shared" si="1"/>
        <v>4380.5399999999991</v>
      </c>
      <c r="H19" s="46" t="s">
        <v>98</v>
      </c>
      <c r="I19" s="53">
        <v>9289.68</v>
      </c>
      <c r="J19" s="52">
        <v>0.4</v>
      </c>
      <c r="K19" s="53">
        <f t="shared" si="2"/>
        <v>3715.8720000000003</v>
      </c>
      <c r="L19" s="54">
        <f t="shared" si="3"/>
        <v>5573.808</v>
      </c>
      <c r="N19" s="62" t="str">
        <f t="shared" si="4"/>
        <v>90&amp;deg; ELBOW - PE100 MOULDED SDR11 400mm</v>
      </c>
      <c r="S19" s="293" t="str">
        <f t="shared" si="5"/>
        <v>400mm</v>
      </c>
      <c r="U19" s="61">
        <f t="shared" si="6"/>
        <v>4380.5399999999991</v>
      </c>
    </row>
    <row r="20" spans="1:21" ht="12.6" customHeight="1">
      <c r="A20" s="192" t="s">
        <v>99</v>
      </c>
      <c r="B20" s="193"/>
      <c r="C20" s="46" t="s">
        <v>100</v>
      </c>
      <c r="D20" s="51">
        <v>10884.02</v>
      </c>
      <c r="E20" s="52">
        <v>0.4</v>
      </c>
      <c r="F20" s="53">
        <f t="shared" si="0"/>
        <v>4353.6080000000002</v>
      </c>
      <c r="G20" s="53">
        <f t="shared" si="1"/>
        <v>6530.4120000000003</v>
      </c>
      <c r="H20" s="46" t="s">
        <v>101</v>
      </c>
      <c r="I20" s="53">
        <v>14926.68</v>
      </c>
      <c r="J20" s="52">
        <v>0.4</v>
      </c>
      <c r="K20" s="53">
        <f t="shared" si="2"/>
        <v>5970.6720000000005</v>
      </c>
      <c r="L20" s="54">
        <f t="shared" si="3"/>
        <v>8956.0079999999998</v>
      </c>
      <c r="N20" s="62" t="str">
        <f t="shared" si="4"/>
        <v>90&amp;deg; ELBOW - PE100 MOULDED SDR11 450mm</v>
      </c>
      <c r="S20" s="293" t="str">
        <f t="shared" si="5"/>
        <v>450mm</v>
      </c>
      <c r="U20" s="61">
        <f t="shared" si="6"/>
        <v>6530.4120000000003</v>
      </c>
    </row>
    <row r="21" spans="1:21" ht="12.6" customHeight="1">
      <c r="A21" s="192" t="s">
        <v>102</v>
      </c>
      <c r="B21" s="193"/>
      <c r="C21" s="46" t="s">
        <v>103</v>
      </c>
      <c r="D21" s="51">
        <v>14304.7</v>
      </c>
      <c r="E21" s="52">
        <v>0.4</v>
      </c>
      <c r="F21" s="53">
        <f t="shared" si="0"/>
        <v>5721.880000000001</v>
      </c>
      <c r="G21" s="53">
        <f t="shared" si="1"/>
        <v>8582.82</v>
      </c>
      <c r="H21" s="46" t="s">
        <v>104</v>
      </c>
      <c r="I21" s="53">
        <v>19591.23</v>
      </c>
      <c r="J21" s="52">
        <v>0.4</v>
      </c>
      <c r="K21" s="53">
        <f t="shared" si="2"/>
        <v>7836.4920000000002</v>
      </c>
      <c r="L21" s="54">
        <f t="shared" si="3"/>
        <v>11754.737999999999</v>
      </c>
      <c r="N21" s="62" t="str">
        <f t="shared" si="4"/>
        <v>90&amp;deg; ELBOW - PE100 MOULDED SDR11 500mm</v>
      </c>
      <c r="S21" s="293" t="str">
        <f t="shared" si="5"/>
        <v>500mm</v>
      </c>
      <c r="U21" s="61">
        <f t="shared" si="6"/>
        <v>8582.82</v>
      </c>
    </row>
    <row r="22" spans="1:21" ht="12.6" customHeight="1">
      <c r="A22" s="192" t="s">
        <v>105</v>
      </c>
      <c r="B22" s="193"/>
      <c r="C22" s="46" t="s">
        <v>106</v>
      </c>
      <c r="D22" s="51">
        <v>19591.23</v>
      </c>
      <c r="E22" s="52">
        <v>0.4</v>
      </c>
      <c r="F22" s="53">
        <f t="shared" si="0"/>
        <v>7836.4920000000002</v>
      </c>
      <c r="G22" s="53">
        <f t="shared" si="1"/>
        <v>11754.737999999999</v>
      </c>
      <c r="H22" s="46" t="s">
        <v>107</v>
      </c>
      <c r="I22" s="53">
        <v>24877.77</v>
      </c>
      <c r="J22" s="52">
        <v>0.4</v>
      </c>
      <c r="K22" s="53">
        <f t="shared" si="2"/>
        <v>9951.1080000000002</v>
      </c>
      <c r="L22" s="54">
        <f t="shared" si="3"/>
        <v>14926.662</v>
      </c>
      <c r="N22" s="62" t="str">
        <f t="shared" si="4"/>
        <v>90&amp;deg; ELBOW - PE100 MOULDED SDR11 560mm</v>
      </c>
      <c r="S22" s="293" t="str">
        <f t="shared" si="5"/>
        <v>560mm</v>
      </c>
      <c r="U22" s="61">
        <f t="shared" si="6"/>
        <v>11754.737999999999</v>
      </c>
    </row>
    <row r="23" spans="1:21" ht="12.6" customHeight="1" thickBot="1">
      <c r="A23" s="204" t="s">
        <v>108</v>
      </c>
      <c r="B23" s="205"/>
      <c r="C23" s="55" t="s">
        <v>109</v>
      </c>
      <c r="D23" s="56">
        <v>28418.09</v>
      </c>
      <c r="E23" s="57">
        <v>0.4</v>
      </c>
      <c r="F23" s="58">
        <f t="shared" si="0"/>
        <v>11367.236000000001</v>
      </c>
      <c r="G23" s="58">
        <f t="shared" si="1"/>
        <v>17050.853999999999</v>
      </c>
      <c r="H23" s="55" t="s">
        <v>110</v>
      </c>
      <c r="I23" s="58">
        <v>36509.51</v>
      </c>
      <c r="J23" s="57">
        <v>0.4</v>
      </c>
      <c r="K23" s="58">
        <f t="shared" si="2"/>
        <v>14603.804000000002</v>
      </c>
      <c r="L23" s="59">
        <f t="shared" si="3"/>
        <v>21905.705999999998</v>
      </c>
      <c r="N23" s="62" t="str">
        <f t="shared" si="4"/>
        <v>90&amp;deg; ELBOW - PE100 MOULDED SDR11 630mm</v>
      </c>
      <c r="S23" s="293" t="str">
        <f t="shared" si="5"/>
        <v>630mm</v>
      </c>
      <c r="U23" s="61">
        <f t="shared" si="6"/>
        <v>17050.853999999999</v>
      </c>
    </row>
    <row r="24" spans="1:21" ht="39" customHeight="1">
      <c r="A24" s="194" t="s">
        <v>111</v>
      </c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6"/>
    </row>
    <row r="25" spans="1:21" ht="15.75" customHeight="1">
      <c r="A25" s="197" t="s">
        <v>49</v>
      </c>
      <c r="B25" s="198"/>
      <c r="C25" s="199" t="s">
        <v>50</v>
      </c>
      <c r="D25" s="200"/>
      <c r="E25" s="200"/>
      <c r="F25" s="200"/>
      <c r="G25" s="193"/>
      <c r="H25" s="199" t="s">
        <v>51</v>
      </c>
      <c r="I25" s="200"/>
      <c r="J25" s="200"/>
      <c r="K25" s="200"/>
      <c r="L25" s="201"/>
    </row>
    <row r="26" spans="1:21" ht="15.75" customHeight="1">
      <c r="A26" s="186"/>
      <c r="B26" s="187"/>
      <c r="C26" s="46" t="s">
        <v>52</v>
      </c>
      <c r="D26" s="47" t="s">
        <v>53</v>
      </c>
      <c r="E26" s="48"/>
      <c r="F26" s="49"/>
      <c r="G26" s="49"/>
      <c r="H26" s="46" t="s">
        <v>52</v>
      </c>
      <c r="I26" s="65" t="s">
        <v>53</v>
      </c>
      <c r="J26" s="48"/>
      <c r="K26" s="49"/>
      <c r="L26" s="50"/>
    </row>
    <row r="27" spans="1:21" ht="12.6" customHeight="1">
      <c r="A27" s="202" t="s">
        <v>54</v>
      </c>
      <c r="B27" s="203"/>
      <c r="C27" s="46" t="s">
        <v>112</v>
      </c>
      <c r="D27" s="51">
        <v>35.99</v>
      </c>
      <c r="E27" s="52">
        <v>0.4</v>
      </c>
      <c r="F27" s="53">
        <f>(D27*E27)</f>
        <v>14.396000000000001</v>
      </c>
      <c r="G27" s="53">
        <f>D27-F27</f>
        <v>21.594000000000001</v>
      </c>
      <c r="H27" s="46" t="s">
        <v>113</v>
      </c>
      <c r="I27" s="66">
        <v>49.37</v>
      </c>
      <c r="J27" s="52">
        <v>0.4</v>
      </c>
      <c r="K27" s="53">
        <f>(I27*J27)</f>
        <v>19.748000000000001</v>
      </c>
      <c r="L27" s="54">
        <f>I27-K27</f>
        <v>29.621999999999996</v>
      </c>
    </row>
    <row r="28" spans="1:21" ht="12.6" customHeight="1">
      <c r="A28" s="202" t="s">
        <v>57</v>
      </c>
      <c r="B28" s="203"/>
      <c r="C28" s="46" t="s">
        <v>114</v>
      </c>
      <c r="D28" s="51">
        <v>50.7</v>
      </c>
      <c r="E28" s="52">
        <v>0.4</v>
      </c>
      <c r="F28" s="53">
        <f t="shared" ref="F28:F45" si="7">(D28*E28)</f>
        <v>20.28</v>
      </c>
      <c r="G28" s="53">
        <f t="shared" ref="G28:G45" si="8">D28-F28</f>
        <v>30.42</v>
      </c>
      <c r="H28" s="46" t="s">
        <v>115</v>
      </c>
      <c r="I28" s="66">
        <v>70.73</v>
      </c>
      <c r="J28" s="52">
        <v>0.4</v>
      </c>
      <c r="K28" s="53">
        <f t="shared" ref="K28:K45" si="9">(I28*J28)</f>
        <v>28.292000000000002</v>
      </c>
      <c r="L28" s="54">
        <f t="shared" ref="L28:L45" si="10">I28-K28</f>
        <v>42.438000000000002</v>
      </c>
    </row>
    <row r="29" spans="1:21" ht="12.6" customHeight="1">
      <c r="A29" s="202" t="s">
        <v>60</v>
      </c>
      <c r="B29" s="203"/>
      <c r="C29" s="46" t="s">
        <v>116</v>
      </c>
      <c r="D29" s="51">
        <v>104.07</v>
      </c>
      <c r="E29" s="52">
        <v>0.4</v>
      </c>
      <c r="F29" s="53">
        <f t="shared" si="7"/>
        <v>41.628</v>
      </c>
      <c r="G29" s="53">
        <f t="shared" si="8"/>
        <v>62.441999999999993</v>
      </c>
      <c r="H29" s="46" t="s">
        <v>117</v>
      </c>
      <c r="I29" s="67">
        <v>138.81</v>
      </c>
      <c r="J29" s="52">
        <v>0.4</v>
      </c>
      <c r="K29" s="53">
        <f t="shared" si="9"/>
        <v>55.524000000000001</v>
      </c>
      <c r="L29" s="54">
        <f t="shared" si="10"/>
        <v>83.286000000000001</v>
      </c>
    </row>
    <row r="30" spans="1:21" ht="12.6" customHeight="1">
      <c r="A30" s="202" t="s">
        <v>63</v>
      </c>
      <c r="B30" s="203"/>
      <c r="C30" s="46" t="s">
        <v>118</v>
      </c>
      <c r="D30" s="51">
        <v>152.11000000000001</v>
      </c>
      <c r="E30" s="52">
        <v>0.4</v>
      </c>
      <c r="F30" s="53">
        <f t="shared" si="7"/>
        <v>60.844000000000008</v>
      </c>
      <c r="G30" s="53">
        <f t="shared" si="8"/>
        <v>91.266000000000005</v>
      </c>
      <c r="H30" s="46" t="s">
        <v>119</v>
      </c>
      <c r="I30" s="67">
        <v>210.87</v>
      </c>
      <c r="J30" s="52">
        <v>0.4</v>
      </c>
      <c r="K30" s="53">
        <f t="shared" si="9"/>
        <v>84.348000000000013</v>
      </c>
      <c r="L30" s="54">
        <f t="shared" si="10"/>
        <v>126.52199999999999</v>
      </c>
    </row>
    <row r="31" spans="1:21" ht="12.6" customHeight="1">
      <c r="A31" s="202" t="s">
        <v>66</v>
      </c>
      <c r="B31" s="203"/>
      <c r="C31" s="46" t="s">
        <v>120</v>
      </c>
      <c r="D31" s="51">
        <v>189.51</v>
      </c>
      <c r="E31" s="52">
        <v>0.4</v>
      </c>
      <c r="F31" s="53">
        <f t="shared" si="7"/>
        <v>75.804000000000002</v>
      </c>
      <c r="G31" s="53">
        <f t="shared" si="8"/>
        <v>113.70599999999999</v>
      </c>
      <c r="H31" s="46" t="s">
        <v>121</v>
      </c>
      <c r="I31" s="67">
        <v>261.64999999999998</v>
      </c>
      <c r="J31" s="52">
        <v>0.4</v>
      </c>
      <c r="K31" s="53">
        <f t="shared" si="9"/>
        <v>104.66</v>
      </c>
      <c r="L31" s="54">
        <f t="shared" si="10"/>
        <v>156.98999999999998</v>
      </c>
    </row>
    <row r="32" spans="1:21" ht="12.6" customHeight="1">
      <c r="A32" s="202" t="s">
        <v>69</v>
      </c>
      <c r="B32" s="203"/>
      <c r="C32" s="46" t="s">
        <v>122</v>
      </c>
      <c r="D32" s="51">
        <v>351.7</v>
      </c>
      <c r="E32" s="52">
        <v>0.4</v>
      </c>
      <c r="F32" s="53">
        <f t="shared" si="7"/>
        <v>140.68</v>
      </c>
      <c r="G32" s="53">
        <f t="shared" si="8"/>
        <v>211.01999999999998</v>
      </c>
      <c r="H32" s="46" t="s">
        <v>123</v>
      </c>
      <c r="I32" s="67">
        <v>460.57</v>
      </c>
      <c r="J32" s="52">
        <v>0.4</v>
      </c>
      <c r="K32" s="53">
        <f t="shared" si="9"/>
        <v>184.22800000000001</v>
      </c>
      <c r="L32" s="54">
        <f t="shared" si="10"/>
        <v>276.34199999999998</v>
      </c>
    </row>
    <row r="33" spans="1:12" ht="12.6" customHeight="1">
      <c r="A33" s="202" t="s">
        <v>72</v>
      </c>
      <c r="B33" s="203"/>
      <c r="C33" s="46" t="s">
        <v>124</v>
      </c>
      <c r="D33" s="51">
        <v>413.76</v>
      </c>
      <c r="E33" s="52">
        <v>0.4</v>
      </c>
      <c r="F33" s="53">
        <f t="shared" si="7"/>
        <v>165.50400000000002</v>
      </c>
      <c r="G33" s="53">
        <f t="shared" si="8"/>
        <v>248.25599999999997</v>
      </c>
      <c r="H33" s="46" t="s">
        <v>125</v>
      </c>
      <c r="I33" s="67">
        <v>541.85</v>
      </c>
      <c r="J33" s="52">
        <v>0.4</v>
      </c>
      <c r="K33" s="53">
        <f t="shared" si="9"/>
        <v>216.74</v>
      </c>
      <c r="L33" s="54">
        <f t="shared" si="10"/>
        <v>325.11</v>
      </c>
    </row>
    <row r="34" spans="1:12" ht="12.6" customHeight="1">
      <c r="A34" s="202" t="s">
        <v>75</v>
      </c>
      <c r="B34" s="203"/>
      <c r="C34" s="46" t="s">
        <v>126</v>
      </c>
      <c r="D34" s="51">
        <v>544.51</v>
      </c>
      <c r="E34" s="52">
        <v>0.4</v>
      </c>
      <c r="F34" s="53">
        <f t="shared" si="7"/>
        <v>217.804</v>
      </c>
      <c r="G34" s="53">
        <f t="shared" si="8"/>
        <v>326.70600000000002</v>
      </c>
      <c r="H34" s="46" t="s">
        <v>127</v>
      </c>
      <c r="I34" s="67">
        <v>732.77</v>
      </c>
      <c r="J34" s="52">
        <v>0.4</v>
      </c>
      <c r="K34" s="53">
        <f t="shared" si="9"/>
        <v>293.108</v>
      </c>
      <c r="L34" s="54">
        <f t="shared" si="10"/>
        <v>439.66199999999998</v>
      </c>
    </row>
    <row r="35" spans="1:12" ht="12.6" customHeight="1">
      <c r="A35" s="202" t="s">
        <v>78</v>
      </c>
      <c r="B35" s="203"/>
      <c r="C35" s="46" t="s">
        <v>128</v>
      </c>
      <c r="D35" s="51">
        <v>772.76</v>
      </c>
      <c r="E35" s="52">
        <v>0.4</v>
      </c>
      <c r="F35" s="53">
        <f t="shared" si="7"/>
        <v>309.10400000000004</v>
      </c>
      <c r="G35" s="53">
        <f t="shared" si="8"/>
        <v>463.65599999999995</v>
      </c>
      <c r="H35" s="46" t="s">
        <v>129</v>
      </c>
      <c r="I35" s="67">
        <v>1030.3399999999999</v>
      </c>
      <c r="J35" s="52">
        <v>0.4</v>
      </c>
      <c r="K35" s="53">
        <f t="shared" si="9"/>
        <v>412.13599999999997</v>
      </c>
      <c r="L35" s="54">
        <f t="shared" si="10"/>
        <v>618.20399999999995</v>
      </c>
    </row>
    <row r="36" spans="1:12" ht="12.6" customHeight="1">
      <c r="A36" s="202" t="s">
        <v>81</v>
      </c>
      <c r="B36" s="203"/>
      <c r="C36" s="46" t="s">
        <v>130</v>
      </c>
      <c r="D36" s="51">
        <v>920.96</v>
      </c>
      <c r="E36" s="52">
        <v>0.4</v>
      </c>
      <c r="F36" s="53">
        <f t="shared" si="7"/>
        <v>368.38400000000001</v>
      </c>
      <c r="G36" s="53">
        <f t="shared" si="8"/>
        <v>552.57600000000002</v>
      </c>
      <c r="H36" s="46" t="s">
        <v>131</v>
      </c>
      <c r="I36" s="67">
        <v>1302.6400000000001</v>
      </c>
      <c r="J36" s="52">
        <v>0.4</v>
      </c>
      <c r="K36" s="53">
        <f t="shared" si="9"/>
        <v>521.05600000000004</v>
      </c>
      <c r="L36" s="54">
        <f t="shared" si="10"/>
        <v>781.58400000000006</v>
      </c>
    </row>
    <row r="37" spans="1:12" ht="12.6" customHeight="1">
      <c r="A37" s="202" t="s">
        <v>84</v>
      </c>
      <c r="B37" s="203"/>
      <c r="C37" s="46" t="s">
        <v>132</v>
      </c>
      <c r="D37" s="51">
        <v>1254.67</v>
      </c>
      <c r="E37" s="52">
        <v>0.4</v>
      </c>
      <c r="F37" s="53">
        <f t="shared" si="7"/>
        <v>501.86800000000005</v>
      </c>
      <c r="G37" s="53">
        <f t="shared" si="8"/>
        <v>752.80200000000002</v>
      </c>
      <c r="H37" s="46" t="s">
        <v>133</v>
      </c>
      <c r="I37" s="67">
        <v>1675.01</v>
      </c>
      <c r="J37" s="52">
        <v>0.4</v>
      </c>
      <c r="K37" s="53">
        <f t="shared" si="9"/>
        <v>670.00400000000002</v>
      </c>
      <c r="L37" s="54">
        <f t="shared" si="10"/>
        <v>1005.006</v>
      </c>
    </row>
    <row r="38" spans="1:12" ht="12.6" customHeight="1">
      <c r="A38" s="202" t="s">
        <v>87</v>
      </c>
      <c r="B38" s="203"/>
      <c r="C38" s="46" t="s">
        <v>134</v>
      </c>
      <c r="D38" s="51">
        <v>1889.95</v>
      </c>
      <c r="E38" s="52">
        <v>0.4</v>
      </c>
      <c r="F38" s="53">
        <f t="shared" si="7"/>
        <v>755.98</v>
      </c>
      <c r="G38" s="53">
        <f t="shared" si="8"/>
        <v>1133.97</v>
      </c>
      <c r="H38" s="46" t="s">
        <v>135</v>
      </c>
      <c r="I38" s="67">
        <v>2473.2800000000002</v>
      </c>
      <c r="J38" s="52">
        <v>0.4</v>
      </c>
      <c r="K38" s="53">
        <f t="shared" si="9"/>
        <v>989.31200000000013</v>
      </c>
      <c r="L38" s="54">
        <f t="shared" si="10"/>
        <v>1483.9680000000001</v>
      </c>
    </row>
    <row r="39" spans="1:12" ht="12.6" customHeight="1">
      <c r="A39" s="202" t="s">
        <v>90</v>
      </c>
      <c r="B39" s="203"/>
      <c r="C39" s="46" t="s">
        <v>136</v>
      </c>
      <c r="D39" s="51">
        <v>2299.73</v>
      </c>
      <c r="E39" s="52">
        <v>0.4</v>
      </c>
      <c r="F39" s="53">
        <f t="shared" si="7"/>
        <v>919.89200000000005</v>
      </c>
      <c r="G39" s="53">
        <f t="shared" si="8"/>
        <v>1379.838</v>
      </c>
      <c r="H39" s="46" t="s">
        <v>137</v>
      </c>
      <c r="I39" s="67">
        <v>3195.33</v>
      </c>
      <c r="J39" s="52">
        <v>0.4</v>
      </c>
      <c r="K39" s="53">
        <f t="shared" si="9"/>
        <v>1278.1320000000001</v>
      </c>
      <c r="L39" s="54">
        <f t="shared" si="10"/>
        <v>1917.1979999999999</v>
      </c>
    </row>
    <row r="40" spans="1:12" ht="12.6" customHeight="1">
      <c r="A40" s="202" t="s">
        <v>93</v>
      </c>
      <c r="B40" s="203"/>
      <c r="C40" s="46" t="s">
        <v>138</v>
      </c>
      <c r="D40" s="51">
        <v>3603.7</v>
      </c>
      <c r="E40" s="52">
        <v>0.4</v>
      </c>
      <c r="F40" s="53">
        <f t="shared" si="7"/>
        <v>1441.48</v>
      </c>
      <c r="G40" s="53">
        <f t="shared" si="8"/>
        <v>2162.2199999999998</v>
      </c>
      <c r="H40" s="46" t="s">
        <v>139</v>
      </c>
      <c r="I40" s="67">
        <v>4911.8100000000004</v>
      </c>
      <c r="J40" s="52">
        <v>0.4</v>
      </c>
      <c r="K40" s="53">
        <f t="shared" si="9"/>
        <v>1964.7240000000002</v>
      </c>
      <c r="L40" s="54">
        <f t="shared" si="10"/>
        <v>2947.0860000000002</v>
      </c>
    </row>
    <row r="41" spans="1:12" ht="12.6" customHeight="1">
      <c r="A41" s="202" t="s">
        <v>96</v>
      </c>
      <c r="B41" s="203"/>
      <c r="C41" s="46" t="s">
        <v>140</v>
      </c>
      <c r="D41" s="51">
        <v>4778.25</v>
      </c>
      <c r="E41" s="52">
        <v>0.4</v>
      </c>
      <c r="F41" s="53">
        <f t="shared" si="7"/>
        <v>1911.3000000000002</v>
      </c>
      <c r="G41" s="53">
        <f t="shared" si="8"/>
        <v>2866.95</v>
      </c>
      <c r="H41" s="46" t="s">
        <v>141</v>
      </c>
      <c r="I41" s="67">
        <v>7180.79</v>
      </c>
      <c r="J41" s="52">
        <v>0.4</v>
      </c>
      <c r="K41" s="53">
        <f t="shared" si="9"/>
        <v>2872.3160000000003</v>
      </c>
      <c r="L41" s="54">
        <f t="shared" si="10"/>
        <v>4308.4740000000002</v>
      </c>
    </row>
    <row r="42" spans="1:12" ht="12.6" customHeight="1">
      <c r="A42" s="202" t="s">
        <v>99</v>
      </c>
      <c r="B42" s="203"/>
      <c r="C42" s="46" t="s">
        <v>142</v>
      </c>
      <c r="D42" s="51">
        <v>7923.82</v>
      </c>
      <c r="E42" s="52">
        <v>0.4</v>
      </c>
      <c r="F42" s="53">
        <f t="shared" si="7"/>
        <v>3169.5280000000002</v>
      </c>
      <c r="G42" s="53">
        <f t="shared" si="8"/>
        <v>4754.2919999999995</v>
      </c>
      <c r="H42" s="46" t="s">
        <v>143</v>
      </c>
      <c r="I42" s="68">
        <v>10776.43</v>
      </c>
      <c r="J42" s="52">
        <v>0.4</v>
      </c>
      <c r="K42" s="53">
        <f t="shared" si="9"/>
        <v>4310.5720000000001</v>
      </c>
      <c r="L42" s="54">
        <f t="shared" si="10"/>
        <v>6465.8580000000002</v>
      </c>
    </row>
    <row r="43" spans="1:12" ht="12.6" customHeight="1">
      <c r="A43" s="202" t="s">
        <v>102</v>
      </c>
      <c r="B43" s="203"/>
      <c r="C43" s="46" t="s">
        <v>144</v>
      </c>
      <c r="D43" s="51">
        <v>9664.09</v>
      </c>
      <c r="E43" s="52">
        <v>0.4</v>
      </c>
      <c r="F43" s="53">
        <f t="shared" si="7"/>
        <v>3865.6360000000004</v>
      </c>
      <c r="G43" s="53">
        <f t="shared" si="8"/>
        <v>5798.4539999999997</v>
      </c>
      <c r="H43" s="46" t="s">
        <v>145</v>
      </c>
      <c r="I43" s="68">
        <v>13682.8</v>
      </c>
      <c r="J43" s="52">
        <v>0.4</v>
      </c>
      <c r="K43" s="53">
        <f t="shared" si="9"/>
        <v>5473.12</v>
      </c>
      <c r="L43" s="54">
        <f t="shared" si="10"/>
        <v>8209.68</v>
      </c>
    </row>
    <row r="44" spans="1:12" ht="12.6" customHeight="1">
      <c r="A44" s="202" t="s">
        <v>105</v>
      </c>
      <c r="B44" s="203"/>
      <c r="C44" s="46" t="s">
        <v>146</v>
      </c>
      <c r="D44" s="51">
        <v>13242.74</v>
      </c>
      <c r="E44" s="52">
        <v>0.4</v>
      </c>
      <c r="F44" s="53">
        <f t="shared" si="7"/>
        <v>5297.0960000000005</v>
      </c>
      <c r="G44" s="53">
        <f t="shared" si="8"/>
        <v>7945.6439999999993</v>
      </c>
      <c r="H44" s="46" t="s">
        <v>147</v>
      </c>
      <c r="I44" s="68">
        <v>18730.060000000001</v>
      </c>
      <c r="J44" s="52">
        <v>0.4</v>
      </c>
      <c r="K44" s="53">
        <f t="shared" si="9"/>
        <v>7492.0240000000013</v>
      </c>
      <c r="L44" s="54">
        <f t="shared" si="10"/>
        <v>11238.036</v>
      </c>
    </row>
    <row r="45" spans="1:12" ht="12.6" customHeight="1" thickBot="1">
      <c r="A45" s="210" t="s">
        <v>108</v>
      </c>
      <c r="B45" s="211"/>
      <c r="C45" s="55" t="s">
        <v>148</v>
      </c>
      <c r="D45" s="56">
        <v>17438.37</v>
      </c>
      <c r="E45" s="57">
        <v>0.4</v>
      </c>
      <c r="F45" s="58">
        <f t="shared" si="7"/>
        <v>6975.348</v>
      </c>
      <c r="G45" s="58">
        <f t="shared" si="8"/>
        <v>10463.021999999999</v>
      </c>
      <c r="H45" s="55" t="s">
        <v>149</v>
      </c>
      <c r="I45" s="69">
        <v>30577.360000000001</v>
      </c>
      <c r="J45" s="57">
        <v>0.4</v>
      </c>
      <c r="K45" s="58">
        <f t="shared" si="9"/>
        <v>12230.944000000001</v>
      </c>
      <c r="L45" s="59">
        <f t="shared" si="10"/>
        <v>18346.415999999997</v>
      </c>
    </row>
    <row r="46" spans="1:12" ht="39" customHeight="1" thickBot="1">
      <c r="A46" s="181" t="s">
        <v>150</v>
      </c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3"/>
    </row>
    <row r="47" spans="1:12" ht="15.75" customHeight="1">
      <c r="A47" s="184" t="s">
        <v>49</v>
      </c>
      <c r="B47" s="185"/>
      <c r="C47" s="206" t="s">
        <v>50</v>
      </c>
      <c r="D47" s="207"/>
      <c r="E47" s="207"/>
      <c r="F47" s="207"/>
      <c r="G47" s="208"/>
      <c r="H47" s="206" t="s">
        <v>51</v>
      </c>
      <c r="I47" s="207"/>
      <c r="J47" s="207"/>
      <c r="K47" s="207"/>
      <c r="L47" s="209"/>
    </row>
    <row r="48" spans="1:12" ht="15.75" customHeight="1">
      <c r="A48" s="186"/>
      <c r="B48" s="187"/>
      <c r="C48" s="46" t="s">
        <v>52</v>
      </c>
      <c r="D48" s="47" t="s">
        <v>53</v>
      </c>
      <c r="E48" s="48"/>
      <c r="F48" s="49"/>
      <c r="G48" s="49"/>
      <c r="H48" s="46" t="s">
        <v>52</v>
      </c>
      <c r="I48" s="46" t="s">
        <v>53</v>
      </c>
      <c r="J48" s="48"/>
      <c r="K48" s="49"/>
      <c r="L48" s="50"/>
    </row>
    <row r="49" spans="1:12" ht="12.6" customHeight="1">
      <c r="A49" s="192" t="s">
        <v>54</v>
      </c>
      <c r="B49" s="193"/>
      <c r="C49" s="46" t="s">
        <v>151</v>
      </c>
      <c r="D49" s="51">
        <v>56.88</v>
      </c>
      <c r="E49" s="52">
        <v>0.4</v>
      </c>
      <c r="F49" s="53">
        <f>(D49*E49)</f>
        <v>22.752000000000002</v>
      </c>
      <c r="G49" s="53">
        <f>D49-F49</f>
        <v>34.128</v>
      </c>
      <c r="H49" s="46" t="s">
        <v>152</v>
      </c>
      <c r="I49" s="53">
        <v>85.37</v>
      </c>
      <c r="J49" s="52">
        <v>0.4</v>
      </c>
      <c r="K49" s="53">
        <f>(I49*J49)</f>
        <v>34.148000000000003</v>
      </c>
      <c r="L49" s="54">
        <f>I49-K49</f>
        <v>51.222000000000001</v>
      </c>
    </row>
    <row r="50" spans="1:12" ht="12.6" customHeight="1">
      <c r="A50" s="192" t="s">
        <v>57</v>
      </c>
      <c r="B50" s="193"/>
      <c r="C50" s="46" t="s">
        <v>153</v>
      </c>
      <c r="D50" s="51">
        <v>106.73</v>
      </c>
      <c r="E50" s="52">
        <v>0.4</v>
      </c>
      <c r="F50" s="53">
        <f t="shared" ref="F50:F67" si="11">(D50*E50)</f>
        <v>42.692000000000007</v>
      </c>
      <c r="G50" s="53">
        <f t="shared" ref="G50:G67" si="12">D50-F50</f>
        <v>64.037999999999997</v>
      </c>
      <c r="H50" s="46" t="s">
        <v>154</v>
      </c>
      <c r="I50" s="53">
        <v>141.47</v>
      </c>
      <c r="J50" s="52">
        <v>0.4</v>
      </c>
      <c r="K50" s="53">
        <f t="shared" ref="K50:K67" si="13">(I50*J50)</f>
        <v>56.588000000000001</v>
      </c>
      <c r="L50" s="54">
        <f t="shared" ref="L50:L67" si="14">I50-K50</f>
        <v>84.882000000000005</v>
      </c>
    </row>
    <row r="51" spans="1:12" ht="12.6" customHeight="1">
      <c r="A51" s="192" t="s">
        <v>60</v>
      </c>
      <c r="B51" s="193"/>
      <c r="C51" s="46" t="s">
        <v>155</v>
      </c>
      <c r="D51" s="51">
        <v>158.84</v>
      </c>
      <c r="E51" s="52">
        <v>0.4</v>
      </c>
      <c r="F51" s="53">
        <f t="shared" si="11"/>
        <v>63.536000000000001</v>
      </c>
      <c r="G51" s="53">
        <f t="shared" si="12"/>
        <v>95.304000000000002</v>
      </c>
      <c r="H51" s="46" t="s">
        <v>156</v>
      </c>
      <c r="I51" s="53">
        <v>216.27</v>
      </c>
      <c r="J51" s="52">
        <v>0.4</v>
      </c>
      <c r="K51" s="53">
        <f t="shared" si="13"/>
        <v>86.50800000000001</v>
      </c>
      <c r="L51" s="54">
        <f t="shared" si="14"/>
        <v>129.762</v>
      </c>
    </row>
    <row r="52" spans="1:12" ht="12.6" customHeight="1">
      <c r="A52" s="192" t="s">
        <v>63</v>
      </c>
      <c r="B52" s="193"/>
      <c r="C52" s="46" t="s">
        <v>157</v>
      </c>
      <c r="D52" s="51">
        <v>258.99</v>
      </c>
      <c r="E52" s="52">
        <v>0.4</v>
      </c>
      <c r="F52" s="53">
        <f t="shared" si="11"/>
        <v>103.596</v>
      </c>
      <c r="G52" s="53">
        <f t="shared" si="12"/>
        <v>155.39400000000001</v>
      </c>
      <c r="H52" s="46" t="s">
        <v>158</v>
      </c>
      <c r="I52" s="53">
        <v>337.63</v>
      </c>
      <c r="J52" s="52">
        <v>0.4</v>
      </c>
      <c r="K52" s="53">
        <f t="shared" si="13"/>
        <v>135.05199999999999</v>
      </c>
      <c r="L52" s="54">
        <f t="shared" si="14"/>
        <v>202.578</v>
      </c>
    </row>
    <row r="53" spans="1:12" ht="12.6" customHeight="1">
      <c r="A53" s="192" t="s">
        <v>66</v>
      </c>
      <c r="B53" s="193"/>
      <c r="C53" s="46" t="s">
        <v>159</v>
      </c>
      <c r="D53" s="51">
        <v>379.1</v>
      </c>
      <c r="E53" s="52">
        <v>0.4</v>
      </c>
      <c r="F53" s="53">
        <f t="shared" si="11"/>
        <v>151.64000000000001</v>
      </c>
      <c r="G53" s="53">
        <f t="shared" si="12"/>
        <v>227.46</v>
      </c>
      <c r="H53" s="46" t="s">
        <v>160</v>
      </c>
      <c r="I53" s="53">
        <v>495.14</v>
      </c>
      <c r="J53" s="52">
        <v>0.4</v>
      </c>
      <c r="K53" s="53">
        <f t="shared" si="13"/>
        <v>198.05600000000001</v>
      </c>
      <c r="L53" s="54">
        <f t="shared" si="14"/>
        <v>297.08399999999995</v>
      </c>
    </row>
    <row r="54" spans="1:12" ht="12.6" customHeight="1">
      <c r="A54" s="192" t="s">
        <v>69</v>
      </c>
      <c r="B54" s="193"/>
      <c r="C54" s="46" t="s">
        <v>161</v>
      </c>
      <c r="D54" s="51">
        <v>515.25</v>
      </c>
      <c r="E54" s="52">
        <v>0.4</v>
      </c>
      <c r="F54" s="53">
        <f t="shared" si="11"/>
        <v>206.10000000000002</v>
      </c>
      <c r="G54" s="53">
        <f t="shared" si="12"/>
        <v>309.14999999999998</v>
      </c>
      <c r="H54" s="46" t="s">
        <v>162</v>
      </c>
      <c r="I54" s="53">
        <v>694.04</v>
      </c>
      <c r="J54" s="52">
        <v>0.4</v>
      </c>
      <c r="K54" s="53">
        <f t="shared" si="13"/>
        <v>277.61599999999999</v>
      </c>
      <c r="L54" s="54">
        <f t="shared" si="14"/>
        <v>416.42399999999998</v>
      </c>
    </row>
    <row r="55" spans="1:12" ht="12.6" customHeight="1">
      <c r="A55" s="192" t="s">
        <v>72</v>
      </c>
      <c r="B55" s="193"/>
      <c r="C55" s="46" t="s">
        <v>163</v>
      </c>
      <c r="D55" s="51">
        <v>549.91</v>
      </c>
      <c r="E55" s="52">
        <v>0.4</v>
      </c>
      <c r="F55" s="53">
        <f t="shared" si="11"/>
        <v>219.964</v>
      </c>
      <c r="G55" s="53">
        <f t="shared" si="12"/>
        <v>329.94599999999997</v>
      </c>
      <c r="H55" s="46" t="s">
        <v>164</v>
      </c>
      <c r="I55" s="53">
        <v>758.13</v>
      </c>
      <c r="J55" s="52">
        <v>0.4</v>
      </c>
      <c r="K55" s="53">
        <f t="shared" si="13"/>
        <v>303.25200000000001</v>
      </c>
      <c r="L55" s="54">
        <f t="shared" si="14"/>
        <v>454.87799999999999</v>
      </c>
    </row>
    <row r="56" spans="1:12" ht="12.6" customHeight="1">
      <c r="A56" s="192" t="s">
        <v>75</v>
      </c>
      <c r="B56" s="193"/>
      <c r="C56" s="46" t="s">
        <v>165</v>
      </c>
      <c r="D56" s="51">
        <v>1067.82</v>
      </c>
      <c r="E56" s="52">
        <v>0.4</v>
      </c>
      <c r="F56" s="53">
        <f t="shared" si="11"/>
        <v>427.12799999999999</v>
      </c>
      <c r="G56" s="53">
        <f t="shared" si="12"/>
        <v>640.69200000000001</v>
      </c>
      <c r="H56" s="46" t="s">
        <v>166</v>
      </c>
      <c r="I56" s="53">
        <v>1448.18</v>
      </c>
      <c r="J56" s="52">
        <v>0.4</v>
      </c>
      <c r="K56" s="53">
        <f t="shared" si="13"/>
        <v>579.27200000000005</v>
      </c>
      <c r="L56" s="54">
        <f t="shared" si="14"/>
        <v>868.90800000000002</v>
      </c>
    </row>
    <row r="57" spans="1:12" ht="12.6" customHeight="1">
      <c r="A57" s="192" t="s">
        <v>78</v>
      </c>
      <c r="B57" s="193"/>
      <c r="C57" s="46" t="s">
        <v>167</v>
      </c>
      <c r="D57" s="51">
        <v>1067.82</v>
      </c>
      <c r="E57" s="52">
        <v>0.4</v>
      </c>
      <c r="F57" s="53">
        <f t="shared" si="11"/>
        <v>427.12799999999999</v>
      </c>
      <c r="G57" s="53">
        <f t="shared" si="12"/>
        <v>640.69200000000001</v>
      </c>
      <c r="H57" s="46" t="s">
        <v>168</v>
      </c>
      <c r="I57" s="53">
        <v>1457.57</v>
      </c>
      <c r="J57" s="52">
        <v>0.4</v>
      </c>
      <c r="K57" s="53">
        <f t="shared" si="13"/>
        <v>583.02800000000002</v>
      </c>
      <c r="L57" s="54">
        <f t="shared" si="14"/>
        <v>874.54199999999992</v>
      </c>
    </row>
    <row r="58" spans="1:12" ht="12.6" customHeight="1">
      <c r="A58" s="192" t="s">
        <v>81</v>
      </c>
      <c r="B58" s="193"/>
      <c r="C58" s="46" t="s">
        <v>169</v>
      </c>
      <c r="D58" s="51">
        <v>1537.61</v>
      </c>
      <c r="E58" s="52">
        <v>0.4</v>
      </c>
      <c r="F58" s="53">
        <f t="shared" si="11"/>
        <v>615.04399999999998</v>
      </c>
      <c r="G58" s="53">
        <f t="shared" si="12"/>
        <v>922.56599999999992</v>
      </c>
      <c r="H58" s="46" t="s">
        <v>170</v>
      </c>
      <c r="I58" s="53">
        <v>2076.81</v>
      </c>
      <c r="J58" s="52">
        <v>0.4</v>
      </c>
      <c r="K58" s="53">
        <f t="shared" si="13"/>
        <v>830.72400000000005</v>
      </c>
      <c r="L58" s="54">
        <f t="shared" si="14"/>
        <v>1246.0859999999998</v>
      </c>
    </row>
    <row r="59" spans="1:12" ht="12.6" customHeight="1">
      <c r="A59" s="192" t="s">
        <v>84</v>
      </c>
      <c r="B59" s="193"/>
      <c r="C59" s="46" t="s">
        <v>171</v>
      </c>
      <c r="D59" s="51">
        <v>2429.15</v>
      </c>
      <c r="E59" s="52">
        <v>0.4</v>
      </c>
      <c r="F59" s="53">
        <f t="shared" si="11"/>
        <v>971.66000000000008</v>
      </c>
      <c r="G59" s="53">
        <f t="shared" si="12"/>
        <v>1457.49</v>
      </c>
      <c r="H59" s="46" t="s">
        <v>172</v>
      </c>
      <c r="I59" s="53">
        <v>3099.17</v>
      </c>
      <c r="J59" s="52">
        <v>0.4</v>
      </c>
      <c r="K59" s="53">
        <f t="shared" si="13"/>
        <v>1239.6680000000001</v>
      </c>
      <c r="L59" s="54">
        <f t="shared" si="14"/>
        <v>1859.502</v>
      </c>
    </row>
    <row r="60" spans="1:12" ht="12.6" customHeight="1">
      <c r="A60" s="192" t="s">
        <v>87</v>
      </c>
      <c r="B60" s="193"/>
      <c r="C60" s="46" t="s">
        <v>173</v>
      </c>
      <c r="D60" s="51">
        <v>3230.07</v>
      </c>
      <c r="E60" s="52">
        <v>0.4</v>
      </c>
      <c r="F60" s="53">
        <f t="shared" si="11"/>
        <v>1292.0280000000002</v>
      </c>
      <c r="G60" s="53">
        <f t="shared" si="12"/>
        <v>1938.0419999999999</v>
      </c>
      <c r="H60" s="46" t="s">
        <v>174</v>
      </c>
      <c r="I60" s="53">
        <v>4538.03</v>
      </c>
      <c r="J60" s="52">
        <v>0.4</v>
      </c>
      <c r="K60" s="53">
        <f t="shared" si="13"/>
        <v>1815.212</v>
      </c>
      <c r="L60" s="54">
        <f t="shared" si="14"/>
        <v>2722.8179999999998</v>
      </c>
    </row>
    <row r="61" spans="1:12" ht="12.6" customHeight="1">
      <c r="A61" s="192" t="s">
        <v>90</v>
      </c>
      <c r="B61" s="193"/>
      <c r="C61" s="46" t="s">
        <v>175</v>
      </c>
      <c r="D61" s="51">
        <v>4137.57</v>
      </c>
      <c r="E61" s="52">
        <v>0.4</v>
      </c>
      <c r="F61" s="53">
        <f t="shared" si="11"/>
        <v>1655.028</v>
      </c>
      <c r="G61" s="53">
        <f t="shared" si="12"/>
        <v>2482.5419999999995</v>
      </c>
      <c r="H61" s="46" t="s">
        <v>176</v>
      </c>
      <c r="I61" s="53">
        <v>5846.07</v>
      </c>
      <c r="J61" s="52">
        <v>0.4</v>
      </c>
      <c r="K61" s="53">
        <f t="shared" si="13"/>
        <v>2338.4279999999999</v>
      </c>
      <c r="L61" s="54">
        <f t="shared" si="14"/>
        <v>3507.6419999999998</v>
      </c>
    </row>
    <row r="62" spans="1:12" ht="12.6" customHeight="1">
      <c r="A62" s="192" t="s">
        <v>93</v>
      </c>
      <c r="B62" s="193"/>
      <c r="C62" s="46" t="s">
        <v>177</v>
      </c>
      <c r="D62" s="51">
        <v>5739.34</v>
      </c>
      <c r="E62" s="52">
        <v>0.4</v>
      </c>
      <c r="F62" s="53">
        <f t="shared" si="11"/>
        <v>2295.7360000000003</v>
      </c>
      <c r="G62" s="53">
        <f t="shared" si="12"/>
        <v>3443.6039999999998</v>
      </c>
      <c r="H62" s="46" t="s">
        <v>178</v>
      </c>
      <c r="I62" s="53">
        <v>9247.9699999999993</v>
      </c>
      <c r="J62" s="52">
        <v>0.4</v>
      </c>
      <c r="K62" s="53">
        <f t="shared" si="13"/>
        <v>3699.1880000000001</v>
      </c>
      <c r="L62" s="54">
        <f t="shared" si="14"/>
        <v>5548.7819999999992</v>
      </c>
    </row>
    <row r="63" spans="1:12" ht="12.6" customHeight="1">
      <c r="A63" s="192" t="s">
        <v>96</v>
      </c>
      <c r="B63" s="193"/>
      <c r="C63" s="46" t="s">
        <v>179</v>
      </c>
      <c r="D63" s="51">
        <v>7834.85</v>
      </c>
      <c r="E63" s="52">
        <v>0.4</v>
      </c>
      <c r="F63" s="53">
        <f t="shared" si="11"/>
        <v>3133.9400000000005</v>
      </c>
      <c r="G63" s="53">
        <f t="shared" si="12"/>
        <v>4700.91</v>
      </c>
      <c r="H63" s="46" t="s">
        <v>180</v>
      </c>
      <c r="I63" s="53">
        <v>9476.4500000000007</v>
      </c>
      <c r="J63" s="52">
        <v>0.4</v>
      </c>
      <c r="K63" s="53">
        <f t="shared" si="13"/>
        <v>3790.5800000000004</v>
      </c>
      <c r="L63" s="54">
        <f t="shared" si="14"/>
        <v>5685.8700000000008</v>
      </c>
    </row>
    <row r="64" spans="1:12" ht="12.6" customHeight="1">
      <c r="A64" s="192" t="s">
        <v>99</v>
      </c>
      <c r="B64" s="193"/>
      <c r="C64" s="46" t="s">
        <v>181</v>
      </c>
      <c r="D64" s="51">
        <v>13682.8</v>
      </c>
      <c r="E64" s="52">
        <v>0.4</v>
      </c>
      <c r="F64" s="53">
        <f t="shared" si="11"/>
        <v>5473.12</v>
      </c>
      <c r="G64" s="53">
        <f t="shared" si="12"/>
        <v>8209.68</v>
      </c>
      <c r="H64" s="46" t="s">
        <v>182</v>
      </c>
      <c r="I64" s="53">
        <v>21457.09</v>
      </c>
      <c r="J64" s="52">
        <v>0.4</v>
      </c>
      <c r="K64" s="53">
        <f t="shared" si="13"/>
        <v>8582.8360000000011</v>
      </c>
      <c r="L64" s="54">
        <f t="shared" si="14"/>
        <v>12874.253999999999</v>
      </c>
    </row>
    <row r="65" spans="1:12" ht="12.6" customHeight="1">
      <c r="A65" s="192" t="s">
        <v>102</v>
      </c>
      <c r="B65" s="193"/>
      <c r="C65" s="46" t="s">
        <v>183</v>
      </c>
      <c r="D65" s="51">
        <v>18036.41</v>
      </c>
      <c r="E65" s="52">
        <v>0.4</v>
      </c>
      <c r="F65" s="53">
        <f t="shared" si="11"/>
        <v>7214.5640000000003</v>
      </c>
      <c r="G65" s="53">
        <f t="shared" si="12"/>
        <v>10821.846</v>
      </c>
      <c r="H65" s="46" t="s">
        <v>184</v>
      </c>
      <c r="I65" s="53">
        <v>23011.91</v>
      </c>
      <c r="J65" s="52">
        <v>0.4</v>
      </c>
      <c r="K65" s="53">
        <f t="shared" si="13"/>
        <v>9204.764000000001</v>
      </c>
      <c r="L65" s="54">
        <f t="shared" si="14"/>
        <v>13807.145999999999</v>
      </c>
    </row>
    <row r="66" spans="1:12" ht="12.6" customHeight="1">
      <c r="A66" s="192" t="s">
        <v>105</v>
      </c>
      <c r="B66" s="193"/>
      <c r="C66" s="46" t="s">
        <v>185</v>
      </c>
      <c r="D66" s="51">
        <v>24877.77</v>
      </c>
      <c r="E66" s="52">
        <v>0.4</v>
      </c>
      <c r="F66" s="53">
        <f t="shared" si="11"/>
        <v>9951.1080000000002</v>
      </c>
      <c r="G66" s="53">
        <f t="shared" si="12"/>
        <v>14926.662</v>
      </c>
      <c r="H66" s="46" t="s">
        <v>186</v>
      </c>
      <c r="I66" s="53">
        <v>31647.38</v>
      </c>
      <c r="J66" s="52">
        <v>0.4</v>
      </c>
      <c r="K66" s="53">
        <f t="shared" si="13"/>
        <v>12658.952000000001</v>
      </c>
      <c r="L66" s="54">
        <f t="shared" si="14"/>
        <v>18988.428</v>
      </c>
    </row>
    <row r="67" spans="1:12" ht="12.6" customHeight="1" thickBot="1">
      <c r="A67" s="204" t="s">
        <v>108</v>
      </c>
      <c r="B67" s="205"/>
      <c r="C67" s="55" t="s">
        <v>187</v>
      </c>
      <c r="D67" s="56">
        <v>27762.62</v>
      </c>
      <c r="E67" s="57">
        <v>0.4</v>
      </c>
      <c r="F67" s="58">
        <f t="shared" si="11"/>
        <v>11105.048000000001</v>
      </c>
      <c r="G67" s="58">
        <f t="shared" si="12"/>
        <v>16657.572</v>
      </c>
      <c r="H67" s="55" t="s">
        <v>188</v>
      </c>
      <c r="I67" s="58">
        <v>41981.25</v>
      </c>
      <c r="J67" s="57">
        <v>0.4</v>
      </c>
      <c r="K67" s="58">
        <f t="shared" si="13"/>
        <v>16792.5</v>
      </c>
      <c r="L67" s="59">
        <f t="shared" si="14"/>
        <v>25188.75</v>
      </c>
    </row>
    <row r="68" spans="1:12" ht="37.5" customHeight="1" thickBot="1">
      <c r="A68" s="212" t="s">
        <v>189</v>
      </c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4"/>
    </row>
    <row r="69" spans="1:12" ht="15.75" customHeight="1">
      <c r="A69" s="215" t="s">
        <v>49</v>
      </c>
      <c r="B69" s="216"/>
      <c r="C69" s="70" t="s">
        <v>50</v>
      </c>
      <c r="D69" s="71"/>
      <c r="E69" s="72"/>
      <c r="F69" s="60"/>
      <c r="G69" s="60"/>
      <c r="H69" s="188" t="s">
        <v>51</v>
      </c>
      <c r="I69" s="189"/>
      <c r="J69" s="189"/>
      <c r="K69" s="189"/>
      <c r="L69" s="191"/>
    </row>
    <row r="70" spans="1:12" ht="15.75" customHeight="1">
      <c r="A70" s="186"/>
      <c r="B70" s="187"/>
      <c r="C70" s="46" t="s">
        <v>52</v>
      </c>
      <c r="D70" s="47" t="s">
        <v>53</v>
      </c>
      <c r="E70" s="48"/>
      <c r="F70" s="49"/>
      <c r="G70" s="49"/>
      <c r="H70" s="46" t="s">
        <v>52</v>
      </c>
      <c r="I70" s="65" t="s">
        <v>53</v>
      </c>
      <c r="J70" s="48"/>
      <c r="K70" s="49"/>
      <c r="L70" s="50"/>
    </row>
    <row r="71" spans="1:12" ht="12.6" customHeight="1">
      <c r="A71" s="202" t="s">
        <v>54</v>
      </c>
      <c r="B71" s="203"/>
      <c r="C71" s="46" t="s">
        <v>190</v>
      </c>
      <c r="D71" s="51">
        <v>21.13</v>
      </c>
      <c r="E71" s="52">
        <v>0.4</v>
      </c>
      <c r="F71" s="53">
        <f>(D71*E71)</f>
        <v>8.452</v>
      </c>
      <c r="G71" s="53">
        <f>D71-F71</f>
        <v>12.677999999999999</v>
      </c>
      <c r="H71" s="46" t="s">
        <v>191</v>
      </c>
      <c r="I71" s="66">
        <v>30.75</v>
      </c>
      <c r="J71" s="52">
        <v>0.4</v>
      </c>
      <c r="K71" s="53">
        <f>(I71*J71)</f>
        <v>12.3</v>
      </c>
      <c r="L71" s="54">
        <f>I71-K71</f>
        <v>18.45</v>
      </c>
    </row>
    <row r="72" spans="1:12" ht="12.6" customHeight="1">
      <c r="A72" s="202" t="s">
        <v>60</v>
      </c>
      <c r="B72" s="203"/>
      <c r="C72" s="46" t="s">
        <v>192</v>
      </c>
      <c r="D72" s="51">
        <v>49.37</v>
      </c>
      <c r="E72" s="52">
        <v>0.4</v>
      </c>
      <c r="F72" s="53">
        <f t="shared" ref="F72:F86" si="15">(D72*E72)</f>
        <v>19.748000000000001</v>
      </c>
      <c r="G72" s="53">
        <f t="shared" ref="G72:G86" si="16">D72-F72</f>
        <v>29.621999999999996</v>
      </c>
      <c r="H72" s="46" t="s">
        <v>193</v>
      </c>
      <c r="I72" s="66">
        <v>66.739999999999995</v>
      </c>
      <c r="J72" s="52">
        <v>0.4</v>
      </c>
      <c r="K72" s="53">
        <f t="shared" ref="K72:K86" si="17">(I72*J72)</f>
        <v>26.695999999999998</v>
      </c>
      <c r="L72" s="54">
        <f t="shared" ref="L72:L86" si="18">I72-K72</f>
        <v>40.043999999999997</v>
      </c>
    </row>
    <row r="73" spans="1:12" ht="12.6" customHeight="1">
      <c r="A73" s="202" t="s">
        <v>63</v>
      </c>
      <c r="B73" s="203"/>
      <c r="C73" s="46" t="s">
        <v>194</v>
      </c>
      <c r="D73" s="51">
        <v>74.8</v>
      </c>
      <c r="E73" s="52">
        <v>0.4</v>
      </c>
      <c r="F73" s="53">
        <f t="shared" si="15"/>
        <v>29.92</v>
      </c>
      <c r="G73" s="53">
        <f t="shared" si="16"/>
        <v>44.879999999999995</v>
      </c>
      <c r="H73" s="46" t="s">
        <v>195</v>
      </c>
      <c r="I73" s="67">
        <v>101.49</v>
      </c>
      <c r="J73" s="52">
        <v>0.4</v>
      </c>
      <c r="K73" s="53">
        <f t="shared" si="17"/>
        <v>40.596000000000004</v>
      </c>
      <c r="L73" s="54">
        <f t="shared" si="18"/>
        <v>60.893999999999991</v>
      </c>
    </row>
    <row r="74" spans="1:12" ht="12.6" customHeight="1">
      <c r="A74" s="202" t="s">
        <v>66</v>
      </c>
      <c r="B74" s="203"/>
      <c r="C74" s="46" t="s">
        <v>196</v>
      </c>
      <c r="D74" s="51">
        <v>93.43</v>
      </c>
      <c r="E74" s="52">
        <v>0.4</v>
      </c>
      <c r="F74" s="53">
        <f t="shared" si="15"/>
        <v>37.372000000000007</v>
      </c>
      <c r="G74" s="53">
        <f t="shared" si="16"/>
        <v>56.058</v>
      </c>
      <c r="H74" s="46" t="s">
        <v>197</v>
      </c>
      <c r="I74" s="67">
        <v>130.75</v>
      </c>
      <c r="J74" s="52">
        <v>0.4</v>
      </c>
      <c r="K74" s="53">
        <f t="shared" si="17"/>
        <v>52.300000000000004</v>
      </c>
      <c r="L74" s="54">
        <f t="shared" si="18"/>
        <v>78.449999999999989</v>
      </c>
    </row>
    <row r="75" spans="1:12" ht="12.6" customHeight="1">
      <c r="A75" s="202" t="s">
        <v>72</v>
      </c>
      <c r="B75" s="203"/>
      <c r="C75" s="46" t="s">
        <v>198</v>
      </c>
      <c r="D75" s="51">
        <v>194.91</v>
      </c>
      <c r="E75" s="52">
        <v>0.4</v>
      </c>
      <c r="F75" s="53">
        <f t="shared" si="15"/>
        <v>77.963999999999999</v>
      </c>
      <c r="G75" s="53">
        <f t="shared" si="16"/>
        <v>116.946</v>
      </c>
      <c r="H75" s="46" t="s">
        <v>199</v>
      </c>
      <c r="I75" s="67">
        <v>264.31</v>
      </c>
      <c r="J75" s="52">
        <v>0.4</v>
      </c>
      <c r="K75" s="53">
        <f t="shared" si="17"/>
        <v>105.724</v>
      </c>
      <c r="L75" s="54">
        <f t="shared" si="18"/>
        <v>158.58600000000001</v>
      </c>
    </row>
    <row r="76" spans="1:12" ht="12.6" customHeight="1">
      <c r="A76" s="202" t="s">
        <v>75</v>
      </c>
      <c r="B76" s="203"/>
      <c r="C76" s="46" t="s">
        <v>200</v>
      </c>
      <c r="D76" s="51">
        <v>272.3</v>
      </c>
      <c r="E76" s="52">
        <v>0.4</v>
      </c>
      <c r="F76" s="53">
        <f t="shared" si="15"/>
        <v>108.92000000000002</v>
      </c>
      <c r="G76" s="53">
        <f t="shared" si="16"/>
        <v>163.38</v>
      </c>
      <c r="H76" s="46" t="s">
        <v>201</v>
      </c>
      <c r="I76" s="67">
        <v>401.79</v>
      </c>
      <c r="J76" s="52">
        <v>0.4</v>
      </c>
      <c r="K76" s="53">
        <f t="shared" si="17"/>
        <v>160.71600000000001</v>
      </c>
      <c r="L76" s="54">
        <f t="shared" si="18"/>
        <v>241.07400000000001</v>
      </c>
    </row>
    <row r="77" spans="1:12" ht="12.6" customHeight="1">
      <c r="A77" s="202" t="s">
        <v>78</v>
      </c>
      <c r="B77" s="203"/>
      <c r="C77" s="46" t="s">
        <v>202</v>
      </c>
      <c r="D77" s="51">
        <v>331.06</v>
      </c>
      <c r="E77" s="52">
        <v>0.4</v>
      </c>
      <c r="F77" s="53">
        <f t="shared" si="15"/>
        <v>132.42400000000001</v>
      </c>
      <c r="G77" s="53">
        <f t="shared" si="16"/>
        <v>198.636</v>
      </c>
      <c r="H77" s="46" t="s">
        <v>203</v>
      </c>
      <c r="I77" s="67">
        <v>477.77</v>
      </c>
      <c r="J77" s="52">
        <v>0.4</v>
      </c>
      <c r="K77" s="53">
        <f t="shared" si="17"/>
        <v>191.108</v>
      </c>
      <c r="L77" s="54">
        <f t="shared" si="18"/>
        <v>286.66199999999998</v>
      </c>
    </row>
    <row r="78" spans="1:12" ht="12.6" customHeight="1">
      <c r="A78" s="202" t="s">
        <v>81</v>
      </c>
      <c r="B78" s="203"/>
      <c r="C78" s="46" t="s">
        <v>204</v>
      </c>
      <c r="D78" s="51">
        <v>432.47</v>
      </c>
      <c r="E78" s="52">
        <v>0.4</v>
      </c>
      <c r="F78" s="53">
        <f t="shared" si="15"/>
        <v>172.98800000000003</v>
      </c>
      <c r="G78" s="53">
        <f t="shared" si="16"/>
        <v>259.48199999999997</v>
      </c>
      <c r="H78" s="46" t="s">
        <v>205</v>
      </c>
      <c r="I78" s="67">
        <v>608.67999999999995</v>
      </c>
      <c r="J78" s="52">
        <v>0.4</v>
      </c>
      <c r="K78" s="53">
        <f t="shared" si="17"/>
        <v>243.47199999999998</v>
      </c>
      <c r="L78" s="54">
        <f t="shared" si="18"/>
        <v>365.20799999999997</v>
      </c>
    </row>
    <row r="79" spans="1:12" ht="12.6" customHeight="1">
      <c r="A79" s="202" t="s">
        <v>84</v>
      </c>
      <c r="B79" s="203"/>
      <c r="C79" s="46" t="s">
        <v>206</v>
      </c>
      <c r="D79" s="51">
        <v>654.05999999999995</v>
      </c>
      <c r="E79" s="52">
        <v>0.4</v>
      </c>
      <c r="F79" s="53">
        <f t="shared" si="15"/>
        <v>261.62399999999997</v>
      </c>
      <c r="G79" s="53">
        <f t="shared" si="16"/>
        <v>392.43599999999998</v>
      </c>
      <c r="H79" s="46" t="s">
        <v>207</v>
      </c>
      <c r="I79" s="67">
        <v>838.25</v>
      </c>
      <c r="J79" s="52">
        <v>0.4</v>
      </c>
      <c r="K79" s="53">
        <f t="shared" si="17"/>
        <v>335.3</v>
      </c>
      <c r="L79" s="54">
        <f t="shared" si="18"/>
        <v>502.95</v>
      </c>
    </row>
    <row r="80" spans="1:12" ht="12.6" customHeight="1">
      <c r="A80" s="202" t="s">
        <v>87</v>
      </c>
      <c r="B80" s="203"/>
      <c r="C80" s="46" t="s">
        <v>208</v>
      </c>
      <c r="D80" s="51">
        <v>920.96</v>
      </c>
      <c r="E80" s="52">
        <v>0.4</v>
      </c>
      <c r="F80" s="53">
        <f t="shared" si="15"/>
        <v>368.38400000000001</v>
      </c>
      <c r="G80" s="53">
        <f t="shared" si="16"/>
        <v>552.57600000000002</v>
      </c>
      <c r="H80" s="46" t="s">
        <v>209</v>
      </c>
      <c r="I80" s="67">
        <v>1141.1400000000001</v>
      </c>
      <c r="J80" s="52">
        <v>0.4</v>
      </c>
      <c r="K80" s="53">
        <f t="shared" si="17"/>
        <v>456.45600000000007</v>
      </c>
      <c r="L80" s="54">
        <f t="shared" si="18"/>
        <v>684.68399999999997</v>
      </c>
    </row>
    <row r="81" spans="1:27" ht="12.6" customHeight="1">
      <c r="A81" s="202" t="s">
        <v>90</v>
      </c>
      <c r="B81" s="203"/>
      <c r="C81" s="46" t="s">
        <v>210</v>
      </c>
      <c r="D81" s="51">
        <v>1441.45</v>
      </c>
      <c r="E81" s="52">
        <v>0.4</v>
      </c>
      <c r="F81" s="53">
        <f t="shared" si="15"/>
        <v>576.58000000000004</v>
      </c>
      <c r="G81" s="53">
        <f t="shared" si="16"/>
        <v>864.87</v>
      </c>
      <c r="H81" s="46" t="s">
        <v>211</v>
      </c>
      <c r="I81" s="67">
        <v>1615</v>
      </c>
      <c r="J81" s="52">
        <v>0.4</v>
      </c>
      <c r="K81" s="53">
        <f t="shared" si="17"/>
        <v>646</v>
      </c>
      <c r="L81" s="54">
        <f t="shared" si="18"/>
        <v>969</v>
      </c>
    </row>
    <row r="82" spans="1:27" ht="12.6" customHeight="1">
      <c r="A82" s="202" t="s">
        <v>93</v>
      </c>
      <c r="B82" s="203"/>
      <c r="C82" s="46" t="s">
        <v>212</v>
      </c>
      <c r="D82" s="51">
        <v>1900.6</v>
      </c>
      <c r="E82" s="52">
        <v>0.4</v>
      </c>
      <c r="F82" s="53">
        <f t="shared" si="15"/>
        <v>760.24</v>
      </c>
      <c r="G82" s="53">
        <f t="shared" si="16"/>
        <v>1140.3599999999999</v>
      </c>
      <c r="H82" s="46" t="s">
        <v>213</v>
      </c>
      <c r="I82" s="73"/>
      <c r="J82" s="52">
        <v>0.4</v>
      </c>
      <c r="K82" s="53">
        <f t="shared" si="17"/>
        <v>0</v>
      </c>
      <c r="L82" s="54">
        <f t="shared" si="18"/>
        <v>0</v>
      </c>
    </row>
    <row r="83" spans="1:27" ht="12.6" customHeight="1">
      <c r="A83" s="202" t="s">
        <v>96</v>
      </c>
      <c r="B83" s="203"/>
      <c r="C83" s="46" t="s">
        <v>214</v>
      </c>
      <c r="D83" s="51">
        <v>2346.44</v>
      </c>
      <c r="E83" s="52">
        <v>0.4</v>
      </c>
      <c r="F83" s="53">
        <f t="shared" si="15"/>
        <v>938.57600000000002</v>
      </c>
      <c r="G83" s="53">
        <f t="shared" si="16"/>
        <v>1407.864</v>
      </c>
      <c r="H83" s="46" t="s">
        <v>215</v>
      </c>
      <c r="I83" s="67">
        <v>3139.31</v>
      </c>
      <c r="J83" s="52">
        <v>0.4</v>
      </c>
      <c r="K83" s="53">
        <f t="shared" si="17"/>
        <v>1255.7240000000002</v>
      </c>
      <c r="L83" s="54">
        <f t="shared" si="18"/>
        <v>1883.5859999999998</v>
      </c>
    </row>
    <row r="84" spans="1:27" ht="12.6" customHeight="1">
      <c r="A84" s="202" t="s">
        <v>99</v>
      </c>
      <c r="B84" s="203"/>
      <c r="C84" s="46" t="s">
        <v>181</v>
      </c>
      <c r="D84" s="51">
        <v>3067.24</v>
      </c>
      <c r="E84" s="52">
        <v>0.4</v>
      </c>
      <c r="F84" s="53">
        <f t="shared" si="15"/>
        <v>1226.896</v>
      </c>
      <c r="G84" s="53">
        <f t="shared" si="16"/>
        <v>1840.3439999999998</v>
      </c>
      <c r="H84" s="46" t="s">
        <v>182</v>
      </c>
      <c r="I84" s="73"/>
      <c r="J84" s="52">
        <v>0.4</v>
      </c>
      <c r="K84" s="53">
        <f t="shared" si="17"/>
        <v>0</v>
      </c>
      <c r="L84" s="54">
        <f t="shared" si="18"/>
        <v>0</v>
      </c>
    </row>
    <row r="85" spans="1:27" ht="12.6" customHeight="1">
      <c r="A85" s="202" t="s">
        <v>102</v>
      </c>
      <c r="B85" s="203"/>
      <c r="C85" s="46" t="s">
        <v>183</v>
      </c>
      <c r="D85" s="51">
        <v>4303.1400000000003</v>
      </c>
      <c r="E85" s="52">
        <v>0.4</v>
      </c>
      <c r="F85" s="53">
        <f t="shared" si="15"/>
        <v>1721.2560000000003</v>
      </c>
      <c r="G85" s="53">
        <f t="shared" si="16"/>
        <v>2581.884</v>
      </c>
      <c r="H85" s="46" t="s">
        <v>184</v>
      </c>
      <c r="I85" s="73"/>
      <c r="J85" s="52">
        <v>0.4</v>
      </c>
      <c r="K85" s="53">
        <f t="shared" si="17"/>
        <v>0</v>
      </c>
      <c r="L85" s="54">
        <f t="shared" si="18"/>
        <v>0</v>
      </c>
    </row>
    <row r="86" spans="1:27" ht="12.6" customHeight="1" thickBot="1">
      <c r="A86" s="210" t="s">
        <v>108</v>
      </c>
      <c r="B86" s="211"/>
      <c r="C86" s="55" t="s">
        <v>187</v>
      </c>
      <c r="D86" s="56">
        <v>6780.41</v>
      </c>
      <c r="E86" s="57">
        <v>0.4</v>
      </c>
      <c r="F86" s="58">
        <f t="shared" si="15"/>
        <v>2712.1640000000002</v>
      </c>
      <c r="G86" s="58">
        <f t="shared" si="16"/>
        <v>4068.2459999999996</v>
      </c>
      <c r="H86" s="55" t="s">
        <v>188</v>
      </c>
      <c r="I86" s="74"/>
      <c r="J86" s="57">
        <v>0.4</v>
      </c>
      <c r="K86" s="58">
        <f t="shared" si="17"/>
        <v>0</v>
      </c>
      <c r="L86" s="59">
        <f t="shared" si="18"/>
        <v>0</v>
      </c>
    </row>
    <row r="87" spans="1:27" ht="14.45" customHeight="1" thickBot="1">
      <c r="A87" s="75"/>
      <c r="B87" s="75"/>
      <c r="C87" s="75"/>
      <c r="D87" s="76"/>
      <c r="E87" s="77"/>
      <c r="F87" s="78"/>
      <c r="G87" s="78"/>
      <c r="H87" s="75"/>
      <c r="I87" s="75"/>
      <c r="J87" s="77"/>
      <c r="K87" s="78"/>
      <c r="L87" s="78"/>
      <c r="M87" s="75"/>
      <c r="N87" s="75"/>
      <c r="O87" s="217"/>
      <c r="P87" s="217"/>
      <c r="Q87" s="75"/>
      <c r="R87" s="75"/>
      <c r="S87" s="79"/>
      <c r="T87" s="75"/>
      <c r="U87" s="75"/>
      <c r="V87" s="75"/>
      <c r="W87" s="75"/>
      <c r="X87" s="75"/>
    </row>
    <row r="88" spans="1:27" ht="39" customHeight="1" thickBot="1">
      <c r="A88" s="218" t="s">
        <v>216</v>
      </c>
      <c r="B88" s="219"/>
      <c r="C88" s="219"/>
      <c r="D88" s="219"/>
      <c r="E88" s="219"/>
      <c r="F88" s="219"/>
      <c r="G88" s="219"/>
      <c r="H88" s="219"/>
      <c r="I88" s="220"/>
      <c r="J88" s="80"/>
      <c r="K88" s="80"/>
      <c r="L88" s="81"/>
      <c r="M88" s="82"/>
      <c r="N88" s="218" t="s">
        <v>217</v>
      </c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2"/>
    </row>
    <row r="89" spans="1:27" ht="15.75" customHeight="1">
      <c r="A89" s="228" t="s">
        <v>49</v>
      </c>
      <c r="B89" s="185"/>
      <c r="C89" s="206" t="s">
        <v>50</v>
      </c>
      <c r="D89" s="207"/>
      <c r="E89" s="207"/>
      <c r="F89" s="207"/>
      <c r="G89" s="208"/>
      <c r="H89" s="206" t="s">
        <v>51</v>
      </c>
      <c r="I89" s="207"/>
      <c r="J89" s="207"/>
      <c r="K89" s="207"/>
      <c r="L89" s="207"/>
      <c r="M89" s="75"/>
      <c r="N89" s="230" t="s">
        <v>49</v>
      </c>
      <c r="O89" s="232" t="s">
        <v>50</v>
      </c>
      <c r="P89" s="233"/>
      <c r="Q89" s="233"/>
      <c r="R89" s="233"/>
      <c r="S89" s="233"/>
      <c r="T89" s="233"/>
      <c r="U89" s="233"/>
      <c r="V89" s="233" t="s">
        <v>51</v>
      </c>
      <c r="W89" s="233"/>
      <c r="X89" s="233"/>
      <c r="Y89" s="233"/>
      <c r="Z89" s="233"/>
      <c r="AA89" s="234"/>
    </row>
    <row r="90" spans="1:27" ht="15.75" customHeight="1" thickBot="1">
      <c r="A90" s="229"/>
      <c r="B90" s="187"/>
      <c r="C90" s="46" t="s">
        <v>52</v>
      </c>
      <c r="D90" s="47" t="s">
        <v>53</v>
      </c>
      <c r="E90" s="48"/>
      <c r="F90" s="49"/>
      <c r="G90" s="49" t="s">
        <v>218</v>
      </c>
      <c r="H90" s="46" t="s">
        <v>52</v>
      </c>
      <c r="I90" s="46" t="s">
        <v>53</v>
      </c>
      <c r="J90" s="48"/>
      <c r="K90" s="49"/>
      <c r="L90" s="49" t="s">
        <v>218</v>
      </c>
      <c r="M90" s="75"/>
      <c r="N90" s="231"/>
      <c r="O90" s="225" t="s">
        <v>52</v>
      </c>
      <c r="P90" s="226"/>
      <c r="Q90" s="235" t="s">
        <v>53</v>
      </c>
      <c r="R90" s="235"/>
      <c r="S90" s="83"/>
      <c r="T90" s="84"/>
      <c r="U90" s="84" t="s">
        <v>219</v>
      </c>
      <c r="V90" s="85" t="s">
        <v>52</v>
      </c>
      <c r="W90" s="235" t="s">
        <v>53</v>
      </c>
      <c r="X90" s="235"/>
      <c r="Y90" s="86"/>
      <c r="Z90" s="87"/>
      <c r="AA90" s="88" t="s">
        <v>219</v>
      </c>
    </row>
    <row r="91" spans="1:27" ht="13.5" customHeight="1">
      <c r="A91" s="223" t="s">
        <v>220</v>
      </c>
      <c r="B91" s="224"/>
      <c r="C91" s="46" t="s">
        <v>221</v>
      </c>
      <c r="D91" s="51">
        <v>123.56</v>
      </c>
      <c r="E91" s="52">
        <v>0.4</v>
      </c>
      <c r="F91" s="53">
        <f t="shared" ref="F91:F137" si="19">(D91*E91)</f>
        <v>49.424000000000007</v>
      </c>
      <c r="G91" s="53">
        <f t="shared" ref="G91:G137" si="20">D91-F91</f>
        <v>74.135999999999996</v>
      </c>
      <c r="H91" s="46" t="s">
        <v>222</v>
      </c>
      <c r="I91" s="53">
        <v>176.3</v>
      </c>
      <c r="J91" s="52">
        <v>0.4</v>
      </c>
      <c r="K91" s="53">
        <f t="shared" ref="K91:K137" si="21">(I91*J91)</f>
        <v>70.52000000000001</v>
      </c>
      <c r="L91" s="53">
        <f t="shared" ref="L91:L137" si="22">I91-K91</f>
        <v>105.78</v>
      </c>
      <c r="M91" s="89"/>
      <c r="N91" s="90" t="s">
        <v>223</v>
      </c>
      <c r="O91" s="225" t="s">
        <v>224</v>
      </c>
      <c r="P91" s="226"/>
      <c r="Q91" s="227">
        <v>62.68</v>
      </c>
      <c r="R91" s="227"/>
      <c r="S91" s="91">
        <v>0.4</v>
      </c>
      <c r="T91" s="92">
        <f>(Q91*S91)</f>
        <v>25.072000000000003</v>
      </c>
      <c r="U91" s="92">
        <f>Q91-T91</f>
        <v>37.607999999999997</v>
      </c>
      <c r="V91" s="85" t="s">
        <v>225</v>
      </c>
      <c r="W91" s="227">
        <v>81.58</v>
      </c>
      <c r="X91" s="227"/>
      <c r="Y91" s="86">
        <v>0.4</v>
      </c>
      <c r="Z91" s="87">
        <f>(W91*Y91)</f>
        <v>32.631999999999998</v>
      </c>
      <c r="AA91" s="88">
        <f>W91-Z91</f>
        <v>48.948</v>
      </c>
    </row>
    <row r="92" spans="1:27" ht="13.5" customHeight="1">
      <c r="A92" s="223" t="s">
        <v>226</v>
      </c>
      <c r="B92" s="224"/>
      <c r="C92" s="46" t="s">
        <v>227</v>
      </c>
      <c r="D92" s="51">
        <v>125.51</v>
      </c>
      <c r="E92" s="52">
        <v>0.4</v>
      </c>
      <c r="F92" s="53">
        <f t="shared" si="19"/>
        <v>50.204000000000008</v>
      </c>
      <c r="G92" s="53">
        <f t="shared" si="20"/>
        <v>75.305999999999997</v>
      </c>
      <c r="H92" s="46" t="s">
        <v>228</v>
      </c>
      <c r="I92" s="53">
        <v>178.87</v>
      </c>
      <c r="J92" s="52">
        <v>0.4</v>
      </c>
      <c r="K92" s="53">
        <f t="shared" si="21"/>
        <v>71.548000000000002</v>
      </c>
      <c r="L92" s="53">
        <f t="shared" si="22"/>
        <v>107.322</v>
      </c>
      <c r="M92" s="89"/>
      <c r="N92" s="93" t="s">
        <v>220</v>
      </c>
      <c r="O92" s="225" t="s">
        <v>229</v>
      </c>
      <c r="P92" s="226"/>
      <c r="Q92" s="227">
        <v>62.68</v>
      </c>
      <c r="R92" s="227"/>
      <c r="S92" s="91">
        <v>0.4</v>
      </c>
      <c r="T92" s="92">
        <f t="shared" ref="T92:T137" si="23">(Q92*S92)</f>
        <v>25.072000000000003</v>
      </c>
      <c r="U92" s="92">
        <f t="shared" ref="U92:U137" si="24">Q92-T92</f>
        <v>37.607999999999997</v>
      </c>
      <c r="V92" s="85" t="s">
        <v>230</v>
      </c>
      <c r="W92" s="227">
        <v>81.58</v>
      </c>
      <c r="X92" s="227"/>
      <c r="Y92" s="86">
        <v>0.4</v>
      </c>
      <c r="Z92" s="87">
        <f t="shared" ref="Z92:Z137" si="25">(W92*Y92)</f>
        <v>32.631999999999998</v>
      </c>
      <c r="AA92" s="88">
        <f t="shared" ref="AA92:AA137" si="26">W92-Z92</f>
        <v>48.948</v>
      </c>
    </row>
    <row r="93" spans="1:27" ht="13.5" customHeight="1">
      <c r="A93" s="223" t="s">
        <v>231</v>
      </c>
      <c r="B93" s="224"/>
      <c r="C93" s="46" t="s">
        <v>232</v>
      </c>
      <c r="D93" s="51">
        <v>137.47999999999999</v>
      </c>
      <c r="E93" s="52">
        <v>0.4</v>
      </c>
      <c r="F93" s="53">
        <f t="shared" si="19"/>
        <v>54.991999999999997</v>
      </c>
      <c r="G93" s="53">
        <f t="shared" si="20"/>
        <v>82.488</v>
      </c>
      <c r="H93" s="46" t="s">
        <v>233</v>
      </c>
      <c r="I93" s="53">
        <v>196.16</v>
      </c>
      <c r="J93" s="52">
        <v>0.4</v>
      </c>
      <c r="K93" s="53">
        <f t="shared" si="21"/>
        <v>78.463999999999999</v>
      </c>
      <c r="L93" s="53">
        <f t="shared" si="22"/>
        <v>117.696</v>
      </c>
      <c r="M93" s="89"/>
      <c r="N93" s="93" t="s">
        <v>226</v>
      </c>
      <c r="O93" s="225" t="s">
        <v>234</v>
      </c>
      <c r="P93" s="226"/>
      <c r="Q93" s="227">
        <v>62.68</v>
      </c>
      <c r="R93" s="227"/>
      <c r="S93" s="91">
        <v>0.4</v>
      </c>
      <c r="T93" s="92">
        <f t="shared" si="23"/>
        <v>25.072000000000003</v>
      </c>
      <c r="U93" s="92">
        <f t="shared" si="24"/>
        <v>37.607999999999997</v>
      </c>
      <c r="V93" s="85" t="s">
        <v>235</v>
      </c>
      <c r="W93" s="227">
        <v>85.37</v>
      </c>
      <c r="X93" s="227"/>
      <c r="Y93" s="86">
        <v>0.4</v>
      </c>
      <c r="Z93" s="87">
        <f t="shared" si="25"/>
        <v>34.148000000000003</v>
      </c>
      <c r="AA93" s="88">
        <f t="shared" si="26"/>
        <v>51.222000000000001</v>
      </c>
    </row>
    <row r="94" spans="1:27" ht="13.5" customHeight="1">
      <c r="A94" s="223" t="s">
        <v>236</v>
      </c>
      <c r="B94" s="224"/>
      <c r="C94" s="46" t="s">
        <v>237</v>
      </c>
      <c r="D94" s="51">
        <v>199.09</v>
      </c>
      <c r="E94" s="52">
        <v>0.4</v>
      </c>
      <c r="F94" s="53">
        <f t="shared" si="19"/>
        <v>79.63600000000001</v>
      </c>
      <c r="G94" s="53">
        <f t="shared" si="20"/>
        <v>119.45399999999999</v>
      </c>
      <c r="H94" s="46" t="s">
        <v>238</v>
      </c>
      <c r="I94" s="53">
        <v>273.49</v>
      </c>
      <c r="J94" s="52">
        <v>0.4</v>
      </c>
      <c r="K94" s="53">
        <f t="shared" si="21"/>
        <v>109.39600000000002</v>
      </c>
      <c r="L94" s="53">
        <f t="shared" si="22"/>
        <v>164.09399999999999</v>
      </c>
      <c r="M94" s="89"/>
      <c r="N94" s="93" t="s">
        <v>231</v>
      </c>
      <c r="O94" s="225" t="s">
        <v>239</v>
      </c>
      <c r="P94" s="226"/>
      <c r="Q94" s="227">
        <v>66.739999999999995</v>
      </c>
      <c r="R94" s="227"/>
      <c r="S94" s="91">
        <v>0.4</v>
      </c>
      <c r="T94" s="92">
        <f t="shared" si="23"/>
        <v>26.695999999999998</v>
      </c>
      <c r="U94" s="92">
        <f t="shared" si="24"/>
        <v>40.043999999999997</v>
      </c>
      <c r="V94" s="85" t="s">
        <v>240</v>
      </c>
      <c r="W94" s="227">
        <v>90.77</v>
      </c>
      <c r="X94" s="227"/>
      <c r="Y94" s="86">
        <v>0.4</v>
      </c>
      <c r="Z94" s="87">
        <f t="shared" si="25"/>
        <v>36.308</v>
      </c>
      <c r="AA94" s="88">
        <f t="shared" si="26"/>
        <v>54.461999999999996</v>
      </c>
    </row>
    <row r="95" spans="1:27" ht="13.5" customHeight="1">
      <c r="A95" s="223" t="s">
        <v>241</v>
      </c>
      <c r="B95" s="224"/>
      <c r="C95" s="46" t="s">
        <v>242</v>
      </c>
      <c r="D95" s="51">
        <v>199.09</v>
      </c>
      <c r="E95" s="52">
        <v>0.4</v>
      </c>
      <c r="F95" s="53">
        <f t="shared" si="19"/>
        <v>79.63600000000001</v>
      </c>
      <c r="G95" s="53">
        <f t="shared" si="20"/>
        <v>119.45399999999999</v>
      </c>
      <c r="H95" s="46" t="s">
        <v>243</v>
      </c>
      <c r="I95" s="53">
        <v>273.49</v>
      </c>
      <c r="J95" s="52">
        <v>0.4</v>
      </c>
      <c r="K95" s="53">
        <f t="shared" si="21"/>
        <v>109.39600000000002</v>
      </c>
      <c r="L95" s="53">
        <f t="shared" si="22"/>
        <v>164.09399999999999</v>
      </c>
      <c r="M95" s="89"/>
      <c r="N95" s="93" t="s">
        <v>244</v>
      </c>
      <c r="O95" s="225" t="s">
        <v>245</v>
      </c>
      <c r="P95" s="226"/>
      <c r="Q95" s="236">
        <v>141.56</v>
      </c>
      <c r="R95" s="236"/>
      <c r="S95" s="91">
        <v>0.4</v>
      </c>
      <c r="T95" s="92">
        <f t="shared" si="23"/>
        <v>56.624000000000002</v>
      </c>
      <c r="U95" s="92">
        <f t="shared" si="24"/>
        <v>84.936000000000007</v>
      </c>
      <c r="V95" s="85" t="s">
        <v>246</v>
      </c>
      <c r="W95" s="236">
        <v>141.56</v>
      </c>
      <c r="X95" s="236"/>
      <c r="Y95" s="86">
        <v>0.4</v>
      </c>
      <c r="Z95" s="87">
        <f t="shared" si="25"/>
        <v>56.624000000000002</v>
      </c>
      <c r="AA95" s="88">
        <f t="shared" si="26"/>
        <v>84.936000000000007</v>
      </c>
    </row>
    <row r="96" spans="1:27" ht="13.5" customHeight="1">
      <c r="A96" s="223" t="s">
        <v>247</v>
      </c>
      <c r="B96" s="224"/>
      <c r="C96" s="46" t="s">
        <v>248</v>
      </c>
      <c r="D96" s="51">
        <v>205.55</v>
      </c>
      <c r="E96" s="52">
        <v>0.4</v>
      </c>
      <c r="F96" s="53">
        <f t="shared" si="19"/>
        <v>82.220000000000013</v>
      </c>
      <c r="G96" s="53">
        <f t="shared" si="20"/>
        <v>123.33</v>
      </c>
      <c r="H96" s="46" t="s">
        <v>249</v>
      </c>
      <c r="I96" s="53">
        <v>273.49</v>
      </c>
      <c r="J96" s="52">
        <v>0.4</v>
      </c>
      <c r="K96" s="53">
        <f t="shared" si="21"/>
        <v>109.39600000000002</v>
      </c>
      <c r="L96" s="53">
        <f t="shared" si="22"/>
        <v>164.09399999999999</v>
      </c>
      <c r="M96" s="89"/>
      <c r="N96" s="93" t="s">
        <v>236</v>
      </c>
      <c r="O96" s="225" t="s">
        <v>250</v>
      </c>
      <c r="P96" s="226"/>
      <c r="Q96" s="236">
        <v>141.56</v>
      </c>
      <c r="R96" s="236"/>
      <c r="S96" s="91">
        <v>0.4</v>
      </c>
      <c r="T96" s="92">
        <f t="shared" si="23"/>
        <v>56.624000000000002</v>
      </c>
      <c r="U96" s="92">
        <f t="shared" si="24"/>
        <v>84.936000000000007</v>
      </c>
      <c r="V96" s="85" t="s">
        <v>251</v>
      </c>
      <c r="W96" s="236">
        <v>141.56</v>
      </c>
      <c r="X96" s="236"/>
      <c r="Y96" s="86">
        <v>0.4</v>
      </c>
      <c r="Z96" s="87">
        <f t="shared" si="25"/>
        <v>56.624000000000002</v>
      </c>
      <c r="AA96" s="88">
        <f t="shared" si="26"/>
        <v>84.936000000000007</v>
      </c>
    </row>
    <row r="97" spans="1:27" ht="13.5" customHeight="1">
      <c r="A97" s="223" t="s">
        <v>252</v>
      </c>
      <c r="B97" s="224"/>
      <c r="C97" s="46" t="s">
        <v>253</v>
      </c>
      <c r="D97" s="51">
        <v>221.51</v>
      </c>
      <c r="E97" s="52">
        <v>0.4</v>
      </c>
      <c r="F97" s="53">
        <f t="shared" si="19"/>
        <v>88.603999999999999</v>
      </c>
      <c r="G97" s="53">
        <f t="shared" si="20"/>
        <v>132.90600000000001</v>
      </c>
      <c r="H97" s="46" t="s">
        <v>254</v>
      </c>
      <c r="I97" s="53">
        <v>304.3</v>
      </c>
      <c r="J97" s="52">
        <v>0.4</v>
      </c>
      <c r="K97" s="53">
        <f t="shared" si="21"/>
        <v>121.72000000000001</v>
      </c>
      <c r="L97" s="53">
        <f t="shared" si="22"/>
        <v>182.57999999999998</v>
      </c>
      <c r="M97" s="89"/>
      <c r="N97" s="93" t="s">
        <v>241</v>
      </c>
      <c r="O97" s="225" t="s">
        <v>255</v>
      </c>
      <c r="P97" s="226"/>
      <c r="Q97" s="236">
        <v>141.56</v>
      </c>
      <c r="R97" s="236"/>
      <c r="S97" s="91">
        <v>0.4</v>
      </c>
      <c r="T97" s="92">
        <f t="shared" si="23"/>
        <v>56.624000000000002</v>
      </c>
      <c r="U97" s="92">
        <f t="shared" si="24"/>
        <v>84.936000000000007</v>
      </c>
      <c r="V97" s="85" t="s">
        <v>256</v>
      </c>
      <c r="W97" s="236">
        <v>141.56</v>
      </c>
      <c r="X97" s="236"/>
      <c r="Y97" s="86">
        <v>0.4</v>
      </c>
      <c r="Z97" s="87">
        <f t="shared" si="25"/>
        <v>56.624000000000002</v>
      </c>
      <c r="AA97" s="88">
        <f t="shared" si="26"/>
        <v>84.936000000000007</v>
      </c>
    </row>
    <row r="98" spans="1:27" ht="13.5" customHeight="1">
      <c r="A98" s="223" t="s">
        <v>257</v>
      </c>
      <c r="B98" s="224"/>
      <c r="C98" s="46" t="s">
        <v>258</v>
      </c>
      <c r="D98" s="51">
        <v>343.04</v>
      </c>
      <c r="E98" s="52">
        <v>0.4</v>
      </c>
      <c r="F98" s="53">
        <f t="shared" si="19"/>
        <v>137.21600000000001</v>
      </c>
      <c r="G98" s="53">
        <f t="shared" si="20"/>
        <v>205.82400000000001</v>
      </c>
      <c r="H98" s="46" t="s">
        <v>259</v>
      </c>
      <c r="I98" s="53">
        <v>428.21</v>
      </c>
      <c r="J98" s="52">
        <v>0.4</v>
      </c>
      <c r="K98" s="53">
        <f t="shared" si="21"/>
        <v>171.28399999999999</v>
      </c>
      <c r="L98" s="53">
        <f t="shared" si="22"/>
        <v>256.92599999999999</v>
      </c>
      <c r="M98" s="89"/>
      <c r="N98" s="93" t="s">
        <v>247</v>
      </c>
      <c r="O98" s="225" t="s">
        <v>260</v>
      </c>
      <c r="P98" s="226"/>
      <c r="Q98" s="236">
        <v>141.56</v>
      </c>
      <c r="R98" s="236"/>
      <c r="S98" s="91">
        <v>0.4</v>
      </c>
      <c r="T98" s="92">
        <f t="shared" si="23"/>
        <v>56.624000000000002</v>
      </c>
      <c r="U98" s="92">
        <f t="shared" si="24"/>
        <v>84.936000000000007</v>
      </c>
      <c r="V98" s="85" t="s">
        <v>261</v>
      </c>
      <c r="W98" s="236">
        <v>141.56</v>
      </c>
      <c r="X98" s="236"/>
      <c r="Y98" s="86">
        <v>0.4</v>
      </c>
      <c r="Z98" s="87">
        <f t="shared" si="25"/>
        <v>56.624000000000002</v>
      </c>
      <c r="AA98" s="88">
        <f t="shared" si="26"/>
        <v>84.936000000000007</v>
      </c>
    </row>
    <row r="99" spans="1:27" ht="13.5" customHeight="1">
      <c r="A99" s="223" t="s">
        <v>262</v>
      </c>
      <c r="B99" s="224"/>
      <c r="C99" s="46" t="s">
        <v>263</v>
      </c>
      <c r="D99" s="51">
        <v>343.04</v>
      </c>
      <c r="E99" s="52">
        <v>0.4</v>
      </c>
      <c r="F99" s="53">
        <f t="shared" si="19"/>
        <v>137.21600000000001</v>
      </c>
      <c r="G99" s="53">
        <f t="shared" si="20"/>
        <v>205.82400000000001</v>
      </c>
      <c r="H99" s="46" t="s">
        <v>264</v>
      </c>
      <c r="I99" s="53">
        <v>431.06</v>
      </c>
      <c r="J99" s="52">
        <v>0.4</v>
      </c>
      <c r="K99" s="53">
        <f t="shared" si="21"/>
        <v>172.42400000000001</v>
      </c>
      <c r="L99" s="53">
        <f t="shared" si="22"/>
        <v>258.63599999999997</v>
      </c>
      <c r="M99" s="89"/>
      <c r="N99" s="93" t="s">
        <v>252</v>
      </c>
      <c r="O99" s="225" t="s">
        <v>265</v>
      </c>
      <c r="P99" s="226"/>
      <c r="Q99" s="236">
        <v>141.56</v>
      </c>
      <c r="R99" s="236"/>
      <c r="S99" s="91">
        <v>0.4</v>
      </c>
      <c r="T99" s="92">
        <f t="shared" si="23"/>
        <v>56.624000000000002</v>
      </c>
      <c r="U99" s="92">
        <f t="shared" si="24"/>
        <v>84.936000000000007</v>
      </c>
      <c r="V99" s="85" t="s">
        <v>266</v>
      </c>
      <c r="W99" s="236">
        <v>157.51</v>
      </c>
      <c r="X99" s="236"/>
      <c r="Y99" s="86">
        <v>0.4</v>
      </c>
      <c r="Z99" s="87">
        <f t="shared" si="25"/>
        <v>63.003999999999998</v>
      </c>
      <c r="AA99" s="88">
        <f t="shared" si="26"/>
        <v>94.506</v>
      </c>
    </row>
    <row r="100" spans="1:27" ht="13.5" customHeight="1">
      <c r="A100" s="223" t="s">
        <v>267</v>
      </c>
      <c r="B100" s="224"/>
      <c r="C100" s="46" t="s">
        <v>268</v>
      </c>
      <c r="D100" s="51">
        <v>347.02</v>
      </c>
      <c r="E100" s="52">
        <v>0.4</v>
      </c>
      <c r="F100" s="53">
        <f t="shared" si="19"/>
        <v>138.80799999999999</v>
      </c>
      <c r="G100" s="53">
        <f t="shared" si="20"/>
        <v>208.21199999999999</v>
      </c>
      <c r="H100" s="46" t="s">
        <v>269</v>
      </c>
      <c r="I100" s="53">
        <v>444.52</v>
      </c>
      <c r="J100" s="52">
        <v>0.4</v>
      </c>
      <c r="K100" s="53">
        <f t="shared" si="21"/>
        <v>177.80799999999999</v>
      </c>
      <c r="L100" s="53">
        <f t="shared" si="22"/>
        <v>266.71199999999999</v>
      </c>
      <c r="M100" s="89"/>
      <c r="N100" s="93" t="s">
        <v>257</v>
      </c>
      <c r="O100" s="225" t="s">
        <v>270</v>
      </c>
      <c r="P100" s="226"/>
      <c r="Q100" s="236">
        <v>181.09</v>
      </c>
      <c r="R100" s="236"/>
      <c r="S100" s="91">
        <v>0.4</v>
      </c>
      <c r="T100" s="92">
        <f t="shared" si="23"/>
        <v>72.436000000000007</v>
      </c>
      <c r="U100" s="92">
        <f t="shared" si="24"/>
        <v>108.654</v>
      </c>
      <c r="V100" s="85" t="s">
        <v>271</v>
      </c>
      <c r="W100" s="236">
        <v>181.09</v>
      </c>
      <c r="X100" s="236"/>
      <c r="Y100" s="86">
        <v>0.4</v>
      </c>
      <c r="Z100" s="87">
        <f t="shared" si="25"/>
        <v>72.436000000000007</v>
      </c>
      <c r="AA100" s="88">
        <f t="shared" si="26"/>
        <v>108.654</v>
      </c>
    </row>
    <row r="101" spans="1:27" ht="13.5" customHeight="1">
      <c r="A101" s="223" t="s">
        <v>272</v>
      </c>
      <c r="B101" s="224"/>
      <c r="C101" s="46" t="s">
        <v>273</v>
      </c>
      <c r="D101" s="51">
        <v>381.68</v>
      </c>
      <c r="E101" s="52">
        <v>0.4</v>
      </c>
      <c r="F101" s="53">
        <f t="shared" si="19"/>
        <v>152.672</v>
      </c>
      <c r="G101" s="53">
        <f t="shared" si="20"/>
        <v>229.00800000000001</v>
      </c>
      <c r="H101" s="46" t="s">
        <v>274</v>
      </c>
      <c r="I101" s="53">
        <v>476.44</v>
      </c>
      <c r="J101" s="52">
        <v>0.4</v>
      </c>
      <c r="K101" s="53">
        <f t="shared" si="21"/>
        <v>190.57600000000002</v>
      </c>
      <c r="L101" s="53">
        <f t="shared" si="22"/>
        <v>285.86399999999998</v>
      </c>
      <c r="M101" s="89"/>
      <c r="N101" s="93" t="s">
        <v>262</v>
      </c>
      <c r="O101" s="225" t="s">
        <v>275</v>
      </c>
      <c r="P101" s="226"/>
      <c r="Q101" s="236">
        <v>181.09</v>
      </c>
      <c r="R101" s="236"/>
      <c r="S101" s="91">
        <v>0.4</v>
      </c>
      <c r="T101" s="92">
        <f t="shared" si="23"/>
        <v>72.436000000000007</v>
      </c>
      <c r="U101" s="92">
        <f t="shared" si="24"/>
        <v>108.654</v>
      </c>
      <c r="V101" s="85" t="s">
        <v>276</v>
      </c>
      <c r="W101" s="236">
        <v>181.09</v>
      </c>
      <c r="X101" s="236"/>
      <c r="Y101" s="86">
        <v>0.4</v>
      </c>
      <c r="Z101" s="87">
        <f t="shared" si="25"/>
        <v>72.436000000000007</v>
      </c>
      <c r="AA101" s="88">
        <f t="shared" si="26"/>
        <v>108.654</v>
      </c>
    </row>
    <row r="102" spans="1:27" ht="13.5" customHeight="1">
      <c r="A102" s="223" t="s">
        <v>277</v>
      </c>
      <c r="B102" s="224"/>
      <c r="C102" s="46" t="s">
        <v>278</v>
      </c>
      <c r="D102" s="51">
        <v>410.24</v>
      </c>
      <c r="E102" s="52">
        <v>0.4</v>
      </c>
      <c r="F102" s="53">
        <f t="shared" si="19"/>
        <v>164.096</v>
      </c>
      <c r="G102" s="53">
        <f t="shared" si="20"/>
        <v>246.14400000000001</v>
      </c>
      <c r="H102" s="46" t="s">
        <v>279</v>
      </c>
      <c r="I102" s="53">
        <v>560.63</v>
      </c>
      <c r="J102" s="52">
        <v>0.4</v>
      </c>
      <c r="K102" s="53">
        <f t="shared" si="21"/>
        <v>224.25200000000001</v>
      </c>
      <c r="L102" s="53">
        <f t="shared" si="22"/>
        <v>336.37799999999999</v>
      </c>
      <c r="M102" s="89"/>
      <c r="N102" s="93" t="s">
        <v>267</v>
      </c>
      <c r="O102" s="225" t="s">
        <v>280</v>
      </c>
      <c r="P102" s="226"/>
      <c r="Q102" s="236">
        <v>181.09</v>
      </c>
      <c r="R102" s="236"/>
      <c r="S102" s="91">
        <v>0.4</v>
      </c>
      <c r="T102" s="92">
        <f t="shared" si="23"/>
        <v>72.436000000000007</v>
      </c>
      <c r="U102" s="92">
        <f t="shared" si="24"/>
        <v>108.654</v>
      </c>
      <c r="V102" s="85" t="s">
        <v>281</v>
      </c>
      <c r="W102" s="236">
        <v>184.19</v>
      </c>
      <c r="X102" s="236"/>
      <c r="Y102" s="86">
        <v>0.4</v>
      </c>
      <c r="Z102" s="87">
        <f t="shared" si="25"/>
        <v>73.676000000000002</v>
      </c>
      <c r="AA102" s="88">
        <f t="shared" si="26"/>
        <v>110.514</v>
      </c>
    </row>
    <row r="103" spans="1:27" ht="13.5" customHeight="1">
      <c r="A103" s="223" t="s">
        <v>282</v>
      </c>
      <c r="B103" s="224"/>
      <c r="C103" s="46" t="s">
        <v>283</v>
      </c>
      <c r="D103" s="51">
        <v>416.43</v>
      </c>
      <c r="E103" s="52">
        <v>0.4</v>
      </c>
      <c r="F103" s="53">
        <f t="shared" si="19"/>
        <v>166.572</v>
      </c>
      <c r="G103" s="53">
        <f t="shared" si="20"/>
        <v>249.858</v>
      </c>
      <c r="H103" s="46" t="s">
        <v>284</v>
      </c>
      <c r="I103" s="53">
        <v>564.54</v>
      </c>
      <c r="J103" s="52">
        <v>0.4</v>
      </c>
      <c r="K103" s="53">
        <f t="shared" si="21"/>
        <v>225.816</v>
      </c>
      <c r="L103" s="53">
        <f t="shared" si="22"/>
        <v>338.72399999999993</v>
      </c>
      <c r="M103" s="89"/>
      <c r="N103" s="93" t="s">
        <v>272</v>
      </c>
      <c r="O103" s="225" t="s">
        <v>285</v>
      </c>
      <c r="P103" s="226"/>
      <c r="Q103" s="236">
        <v>181.09</v>
      </c>
      <c r="R103" s="236"/>
      <c r="S103" s="91">
        <v>0.4</v>
      </c>
      <c r="T103" s="92">
        <f t="shared" si="23"/>
        <v>72.436000000000007</v>
      </c>
      <c r="U103" s="92">
        <f t="shared" si="24"/>
        <v>108.654</v>
      </c>
      <c r="V103" s="85" t="s">
        <v>286</v>
      </c>
      <c r="W103" s="236">
        <v>201.48</v>
      </c>
      <c r="X103" s="236"/>
      <c r="Y103" s="86">
        <v>0.4</v>
      </c>
      <c r="Z103" s="87">
        <f t="shared" si="25"/>
        <v>80.591999999999999</v>
      </c>
      <c r="AA103" s="88">
        <f t="shared" si="26"/>
        <v>120.88799999999999</v>
      </c>
    </row>
    <row r="104" spans="1:27" ht="13.5" customHeight="1">
      <c r="A104" s="223" t="s">
        <v>287</v>
      </c>
      <c r="B104" s="224"/>
      <c r="C104" s="46" t="s">
        <v>288</v>
      </c>
      <c r="D104" s="51">
        <v>453.75</v>
      </c>
      <c r="E104" s="52">
        <v>0.4</v>
      </c>
      <c r="F104" s="53">
        <f t="shared" si="19"/>
        <v>181.5</v>
      </c>
      <c r="G104" s="53">
        <f t="shared" si="20"/>
        <v>272.25</v>
      </c>
      <c r="H104" s="46" t="s">
        <v>289</v>
      </c>
      <c r="I104" s="53">
        <v>620.65</v>
      </c>
      <c r="J104" s="52">
        <v>0.4</v>
      </c>
      <c r="K104" s="53">
        <f t="shared" si="21"/>
        <v>248.26</v>
      </c>
      <c r="L104" s="53">
        <f t="shared" si="22"/>
        <v>372.39</v>
      </c>
      <c r="M104" s="89"/>
      <c r="N104" s="93" t="s">
        <v>290</v>
      </c>
      <c r="O104" s="225" t="s">
        <v>291</v>
      </c>
      <c r="P104" s="226"/>
      <c r="Q104" s="236">
        <v>213.61</v>
      </c>
      <c r="R104" s="236"/>
      <c r="S104" s="91">
        <v>0.4</v>
      </c>
      <c r="T104" s="92">
        <f t="shared" si="23"/>
        <v>85.444000000000017</v>
      </c>
      <c r="U104" s="92">
        <f t="shared" si="24"/>
        <v>128.166</v>
      </c>
      <c r="V104" s="85" t="s">
        <v>292</v>
      </c>
      <c r="W104" s="236">
        <v>251.9</v>
      </c>
      <c r="X104" s="236"/>
      <c r="Y104" s="86">
        <v>0.4</v>
      </c>
      <c r="Z104" s="87">
        <f t="shared" si="25"/>
        <v>100.76</v>
      </c>
      <c r="AA104" s="88">
        <f t="shared" si="26"/>
        <v>151.13999999999999</v>
      </c>
    </row>
    <row r="105" spans="1:27" ht="13.5" customHeight="1">
      <c r="A105" s="223" t="s">
        <v>293</v>
      </c>
      <c r="B105" s="224"/>
      <c r="C105" s="46" t="s">
        <v>294</v>
      </c>
      <c r="D105" s="51">
        <v>587.85</v>
      </c>
      <c r="E105" s="52">
        <v>0.4</v>
      </c>
      <c r="F105" s="53">
        <f t="shared" si="19"/>
        <v>235.14000000000001</v>
      </c>
      <c r="G105" s="53">
        <f t="shared" si="20"/>
        <v>352.71000000000004</v>
      </c>
      <c r="H105" s="46" t="s">
        <v>295</v>
      </c>
      <c r="I105" s="53">
        <v>746.15</v>
      </c>
      <c r="J105" s="52">
        <v>0.4</v>
      </c>
      <c r="K105" s="53">
        <f t="shared" si="21"/>
        <v>298.45999999999998</v>
      </c>
      <c r="L105" s="53">
        <f t="shared" si="22"/>
        <v>447.69</v>
      </c>
      <c r="M105" s="89"/>
      <c r="N105" s="93" t="s">
        <v>277</v>
      </c>
      <c r="O105" s="225" t="s">
        <v>296</v>
      </c>
      <c r="P105" s="226"/>
      <c r="Q105" s="236">
        <v>213.61</v>
      </c>
      <c r="R105" s="236"/>
      <c r="S105" s="91">
        <v>0.4</v>
      </c>
      <c r="T105" s="92">
        <f t="shared" si="23"/>
        <v>85.444000000000017</v>
      </c>
      <c r="U105" s="92">
        <f t="shared" si="24"/>
        <v>128.166</v>
      </c>
      <c r="V105" s="85" t="s">
        <v>297</v>
      </c>
      <c r="W105" s="236">
        <v>251.9</v>
      </c>
      <c r="X105" s="236"/>
      <c r="Y105" s="86">
        <v>0.4</v>
      </c>
      <c r="Z105" s="87">
        <f t="shared" si="25"/>
        <v>100.76</v>
      </c>
      <c r="AA105" s="88">
        <f t="shared" si="26"/>
        <v>151.13999999999999</v>
      </c>
    </row>
    <row r="106" spans="1:27" ht="13.5" customHeight="1">
      <c r="A106" s="223" t="s">
        <v>298</v>
      </c>
      <c r="B106" s="224"/>
      <c r="C106" s="46" t="s">
        <v>299</v>
      </c>
      <c r="D106" s="51">
        <v>587.85</v>
      </c>
      <c r="E106" s="52">
        <v>0.4</v>
      </c>
      <c r="F106" s="53">
        <f t="shared" si="19"/>
        <v>235.14000000000001</v>
      </c>
      <c r="G106" s="53">
        <f t="shared" si="20"/>
        <v>352.71000000000004</v>
      </c>
      <c r="H106" s="46" t="s">
        <v>300</v>
      </c>
      <c r="I106" s="53">
        <v>746.15</v>
      </c>
      <c r="J106" s="52">
        <v>0.4</v>
      </c>
      <c r="K106" s="53">
        <f t="shared" si="21"/>
        <v>298.45999999999998</v>
      </c>
      <c r="L106" s="53">
        <f t="shared" si="22"/>
        <v>447.69</v>
      </c>
      <c r="M106" s="89"/>
      <c r="N106" s="93" t="s">
        <v>282</v>
      </c>
      <c r="O106" s="225" t="s">
        <v>301</v>
      </c>
      <c r="P106" s="226"/>
      <c r="Q106" s="236">
        <v>213.61</v>
      </c>
      <c r="R106" s="236"/>
      <c r="S106" s="91">
        <v>0.4</v>
      </c>
      <c r="T106" s="92">
        <f t="shared" si="23"/>
        <v>85.444000000000017</v>
      </c>
      <c r="U106" s="92">
        <f t="shared" si="24"/>
        <v>128.166</v>
      </c>
      <c r="V106" s="85" t="s">
        <v>302</v>
      </c>
      <c r="W106" s="236">
        <v>280.27999999999997</v>
      </c>
      <c r="X106" s="236"/>
      <c r="Y106" s="86">
        <v>0.4</v>
      </c>
      <c r="Z106" s="87">
        <f t="shared" si="25"/>
        <v>112.11199999999999</v>
      </c>
      <c r="AA106" s="88">
        <f t="shared" si="26"/>
        <v>168.16799999999998</v>
      </c>
    </row>
    <row r="107" spans="1:27" ht="13.5" customHeight="1">
      <c r="A107" s="223" t="s">
        <v>303</v>
      </c>
      <c r="B107" s="224"/>
      <c r="C107" s="46" t="s">
        <v>304</v>
      </c>
      <c r="D107" s="51">
        <v>587.85</v>
      </c>
      <c r="E107" s="52">
        <v>0.4</v>
      </c>
      <c r="F107" s="53">
        <f t="shared" si="19"/>
        <v>235.14000000000001</v>
      </c>
      <c r="G107" s="53">
        <f t="shared" si="20"/>
        <v>352.71000000000004</v>
      </c>
      <c r="H107" s="46" t="s">
        <v>305</v>
      </c>
      <c r="I107" s="53">
        <v>746.15</v>
      </c>
      <c r="J107" s="52">
        <v>0.4</v>
      </c>
      <c r="K107" s="53">
        <f t="shared" si="21"/>
        <v>298.45999999999998</v>
      </c>
      <c r="L107" s="53">
        <f t="shared" si="22"/>
        <v>447.69</v>
      </c>
      <c r="M107" s="89"/>
      <c r="N107" s="93" t="s">
        <v>293</v>
      </c>
      <c r="O107" s="225" t="s">
        <v>306</v>
      </c>
      <c r="P107" s="226"/>
      <c r="Q107" s="236">
        <v>227.92</v>
      </c>
      <c r="R107" s="236"/>
      <c r="S107" s="91">
        <v>0.4</v>
      </c>
      <c r="T107" s="92">
        <f t="shared" si="23"/>
        <v>91.168000000000006</v>
      </c>
      <c r="U107" s="92">
        <f t="shared" si="24"/>
        <v>136.75199999999998</v>
      </c>
      <c r="V107" s="85" t="s">
        <v>307</v>
      </c>
      <c r="W107" s="236">
        <v>315.55</v>
      </c>
      <c r="X107" s="236"/>
      <c r="Y107" s="86">
        <v>0.4</v>
      </c>
      <c r="Z107" s="87">
        <f t="shared" si="25"/>
        <v>126.22000000000001</v>
      </c>
      <c r="AA107" s="88">
        <f t="shared" si="26"/>
        <v>189.32999999999998</v>
      </c>
    </row>
    <row r="108" spans="1:27" ht="13.5" customHeight="1">
      <c r="A108" s="223" t="s">
        <v>308</v>
      </c>
      <c r="B108" s="224"/>
      <c r="C108" s="46" t="s">
        <v>309</v>
      </c>
      <c r="D108" s="51">
        <v>587.85</v>
      </c>
      <c r="E108" s="52">
        <v>0.4</v>
      </c>
      <c r="F108" s="53">
        <f t="shared" si="19"/>
        <v>235.14000000000001</v>
      </c>
      <c r="G108" s="53">
        <f t="shared" si="20"/>
        <v>352.71000000000004</v>
      </c>
      <c r="H108" s="46" t="s">
        <v>310</v>
      </c>
      <c r="I108" s="53">
        <v>746.15</v>
      </c>
      <c r="J108" s="52">
        <v>0.4</v>
      </c>
      <c r="K108" s="53">
        <f t="shared" si="21"/>
        <v>298.45999999999998</v>
      </c>
      <c r="L108" s="53">
        <f t="shared" si="22"/>
        <v>447.69</v>
      </c>
      <c r="M108" s="89"/>
      <c r="N108" s="93" t="s">
        <v>298</v>
      </c>
      <c r="O108" s="225" t="s">
        <v>311</v>
      </c>
      <c r="P108" s="226"/>
      <c r="Q108" s="236">
        <v>227.92</v>
      </c>
      <c r="R108" s="236"/>
      <c r="S108" s="91">
        <v>0.4</v>
      </c>
      <c r="T108" s="92">
        <f t="shared" si="23"/>
        <v>91.168000000000006</v>
      </c>
      <c r="U108" s="92">
        <f t="shared" si="24"/>
        <v>136.75199999999998</v>
      </c>
      <c r="V108" s="85" t="s">
        <v>312</v>
      </c>
      <c r="W108" s="236">
        <v>315.55</v>
      </c>
      <c r="X108" s="236"/>
      <c r="Y108" s="86">
        <v>0.4</v>
      </c>
      <c r="Z108" s="87">
        <f t="shared" si="25"/>
        <v>126.22000000000001</v>
      </c>
      <c r="AA108" s="88">
        <f t="shared" si="26"/>
        <v>189.32999999999998</v>
      </c>
    </row>
    <row r="109" spans="1:27" ht="13.5" customHeight="1">
      <c r="A109" s="223" t="s">
        <v>313</v>
      </c>
      <c r="B109" s="224"/>
      <c r="C109" s="46" t="s">
        <v>314</v>
      </c>
      <c r="D109" s="51">
        <v>587.85</v>
      </c>
      <c r="E109" s="52">
        <v>0.4</v>
      </c>
      <c r="F109" s="53">
        <f t="shared" si="19"/>
        <v>235.14000000000001</v>
      </c>
      <c r="G109" s="53">
        <f t="shared" si="20"/>
        <v>352.71000000000004</v>
      </c>
      <c r="H109" s="46" t="s">
        <v>315</v>
      </c>
      <c r="I109" s="53">
        <v>764.78</v>
      </c>
      <c r="J109" s="52">
        <v>0.4</v>
      </c>
      <c r="K109" s="53">
        <f t="shared" si="21"/>
        <v>305.91199999999998</v>
      </c>
      <c r="L109" s="53">
        <f t="shared" si="22"/>
        <v>458.86799999999999</v>
      </c>
      <c r="M109" s="89"/>
      <c r="N109" s="93" t="s">
        <v>303</v>
      </c>
      <c r="O109" s="225" t="s">
        <v>316</v>
      </c>
      <c r="P109" s="226"/>
      <c r="Q109" s="236">
        <v>227.92</v>
      </c>
      <c r="R109" s="236"/>
      <c r="S109" s="91">
        <v>0.4</v>
      </c>
      <c r="T109" s="92">
        <f t="shared" si="23"/>
        <v>91.168000000000006</v>
      </c>
      <c r="U109" s="92">
        <f t="shared" si="24"/>
        <v>136.75199999999998</v>
      </c>
      <c r="V109" s="85" t="s">
        <v>317</v>
      </c>
      <c r="W109" s="236">
        <v>315.55</v>
      </c>
      <c r="X109" s="236"/>
      <c r="Y109" s="86">
        <v>0.4</v>
      </c>
      <c r="Z109" s="87">
        <f t="shared" si="25"/>
        <v>126.22000000000001</v>
      </c>
      <c r="AA109" s="88">
        <f t="shared" si="26"/>
        <v>189.32999999999998</v>
      </c>
    </row>
    <row r="110" spans="1:27" ht="13.5" customHeight="1">
      <c r="A110" s="223" t="s">
        <v>318</v>
      </c>
      <c r="B110" s="224"/>
      <c r="C110" s="46" t="s">
        <v>319</v>
      </c>
      <c r="D110" s="51">
        <v>654.05999999999995</v>
      </c>
      <c r="E110" s="52">
        <v>0.4</v>
      </c>
      <c r="F110" s="53">
        <f t="shared" si="19"/>
        <v>261.62399999999997</v>
      </c>
      <c r="G110" s="53">
        <f t="shared" si="20"/>
        <v>392.43599999999998</v>
      </c>
      <c r="H110" s="46" t="s">
        <v>320</v>
      </c>
      <c r="I110" s="53">
        <v>830.19</v>
      </c>
      <c r="J110" s="52">
        <v>0.4</v>
      </c>
      <c r="K110" s="53">
        <f t="shared" si="21"/>
        <v>332.07600000000002</v>
      </c>
      <c r="L110" s="53">
        <f t="shared" si="22"/>
        <v>498.11400000000003</v>
      </c>
      <c r="M110" s="89"/>
      <c r="N110" s="93" t="s">
        <v>308</v>
      </c>
      <c r="O110" s="225" t="s">
        <v>321</v>
      </c>
      <c r="P110" s="226"/>
      <c r="Q110" s="236">
        <v>228.24</v>
      </c>
      <c r="R110" s="236"/>
      <c r="S110" s="91">
        <v>0.4</v>
      </c>
      <c r="T110" s="92">
        <f t="shared" si="23"/>
        <v>91.296000000000006</v>
      </c>
      <c r="U110" s="92">
        <f t="shared" si="24"/>
        <v>136.94400000000002</v>
      </c>
      <c r="V110" s="85" t="s">
        <v>322</v>
      </c>
      <c r="W110" s="236">
        <v>329.73</v>
      </c>
      <c r="X110" s="236"/>
      <c r="Y110" s="86">
        <v>0.4</v>
      </c>
      <c r="Z110" s="87">
        <f t="shared" si="25"/>
        <v>131.89200000000002</v>
      </c>
      <c r="AA110" s="88">
        <f t="shared" si="26"/>
        <v>197.83799999999999</v>
      </c>
    </row>
    <row r="111" spans="1:27" ht="13.5" customHeight="1">
      <c r="A111" s="223" t="s">
        <v>323</v>
      </c>
      <c r="B111" s="224"/>
      <c r="C111" s="46" t="s">
        <v>324</v>
      </c>
      <c r="D111" s="51">
        <v>815.77</v>
      </c>
      <c r="E111" s="52">
        <v>0.4</v>
      </c>
      <c r="F111" s="53">
        <f t="shared" si="19"/>
        <v>326.30799999999999</v>
      </c>
      <c r="G111" s="53">
        <f t="shared" si="20"/>
        <v>489.46199999999999</v>
      </c>
      <c r="H111" s="46" t="s">
        <v>325</v>
      </c>
      <c r="I111" s="53">
        <v>1103.68</v>
      </c>
      <c r="J111" s="52">
        <v>0.4</v>
      </c>
      <c r="K111" s="53">
        <f t="shared" si="21"/>
        <v>441.47200000000004</v>
      </c>
      <c r="L111" s="53">
        <f t="shared" si="22"/>
        <v>662.20800000000008</v>
      </c>
      <c r="M111" s="89"/>
      <c r="N111" s="93" t="s">
        <v>313</v>
      </c>
      <c r="O111" s="225" t="s">
        <v>326</v>
      </c>
      <c r="P111" s="226"/>
      <c r="Q111" s="236">
        <v>253.6</v>
      </c>
      <c r="R111" s="236"/>
      <c r="S111" s="91">
        <v>0.4</v>
      </c>
      <c r="T111" s="92">
        <f t="shared" si="23"/>
        <v>101.44</v>
      </c>
      <c r="U111" s="92">
        <f t="shared" si="24"/>
        <v>152.16</v>
      </c>
      <c r="V111" s="85" t="s">
        <v>327</v>
      </c>
      <c r="W111" s="236">
        <v>351.09</v>
      </c>
      <c r="X111" s="236"/>
      <c r="Y111" s="86">
        <v>0.4</v>
      </c>
      <c r="Z111" s="87">
        <f t="shared" si="25"/>
        <v>140.43600000000001</v>
      </c>
      <c r="AA111" s="88">
        <f t="shared" si="26"/>
        <v>210.65399999999997</v>
      </c>
    </row>
    <row r="112" spans="1:27" ht="13.5" customHeight="1">
      <c r="A112" s="223" t="s">
        <v>328</v>
      </c>
      <c r="B112" s="224"/>
      <c r="C112" s="46" t="s">
        <v>329</v>
      </c>
      <c r="D112" s="51">
        <v>815.77</v>
      </c>
      <c r="E112" s="52">
        <v>0.4</v>
      </c>
      <c r="F112" s="53">
        <f t="shared" si="19"/>
        <v>326.30799999999999</v>
      </c>
      <c r="G112" s="53">
        <f t="shared" si="20"/>
        <v>489.46199999999999</v>
      </c>
      <c r="H112" s="46" t="s">
        <v>330</v>
      </c>
      <c r="I112" s="53">
        <v>1103.68</v>
      </c>
      <c r="J112" s="52">
        <v>0.4</v>
      </c>
      <c r="K112" s="53">
        <f t="shared" si="21"/>
        <v>441.47200000000004</v>
      </c>
      <c r="L112" s="53">
        <f t="shared" si="22"/>
        <v>662.20800000000008</v>
      </c>
      <c r="M112" s="89"/>
      <c r="N112" s="93" t="s">
        <v>323</v>
      </c>
      <c r="O112" s="225" t="s">
        <v>331</v>
      </c>
      <c r="P112" s="226"/>
      <c r="Q112" s="236">
        <v>313.08999999999997</v>
      </c>
      <c r="R112" s="236"/>
      <c r="S112" s="91">
        <v>0.4</v>
      </c>
      <c r="T112" s="92">
        <f t="shared" si="23"/>
        <v>125.23599999999999</v>
      </c>
      <c r="U112" s="92">
        <f t="shared" si="24"/>
        <v>187.85399999999998</v>
      </c>
      <c r="V112" s="85" t="s">
        <v>332</v>
      </c>
      <c r="W112" s="236">
        <v>455.85</v>
      </c>
      <c r="X112" s="236"/>
      <c r="Y112" s="86">
        <v>0.4</v>
      </c>
      <c r="Z112" s="87">
        <f t="shared" si="25"/>
        <v>182.34000000000003</v>
      </c>
      <c r="AA112" s="88">
        <f t="shared" si="26"/>
        <v>273.51</v>
      </c>
    </row>
    <row r="113" spans="1:27" ht="13.5" customHeight="1">
      <c r="A113" s="223" t="s">
        <v>333</v>
      </c>
      <c r="B113" s="224"/>
      <c r="C113" s="46" t="s">
        <v>334</v>
      </c>
      <c r="D113" s="51">
        <v>827.53</v>
      </c>
      <c r="E113" s="52">
        <v>0.4</v>
      </c>
      <c r="F113" s="53">
        <f t="shared" si="19"/>
        <v>331.012</v>
      </c>
      <c r="G113" s="53">
        <f t="shared" si="20"/>
        <v>496.51799999999997</v>
      </c>
      <c r="H113" s="46" t="s">
        <v>335</v>
      </c>
      <c r="I113" s="53">
        <v>1103.68</v>
      </c>
      <c r="J113" s="52">
        <v>0.4</v>
      </c>
      <c r="K113" s="53">
        <f t="shared" si="21"/>
        <v>441.47200000000004</v>
      </c>
      <c r="L113" s="53">
        <f t="shared" si="22"/>
        <v>662.20800000000008</v>
      </c>
      <c r="M113" s="89"/>
      <c r="N113" s="93" t="s">
        <v>328</v>
      </c>
      <c r="O113" s="225" t="s">
        <v>336</v>
      </c>
      <c r="P113" s="226"/>
      <c r="Q113" s="236">
        <v>320.33999999999997</v>
      </c>
      <c r="R113" s="236"/>
      <c r="S113" s="91">
        <v>0.4</v>
      </c>
      <c r="T113" s="92">
        <f t="shared" si="23"/>
        <v>128.136</v>
      </c>
      <c r="U113" s="92">
        <f t="shared" si="24"/>
        <v>192.20399999999998</v>
      </c>
      <c r="V113" s="85" t="s">
        <v>337</v>
      </c>
      <c r="W113" s="236">
        <v>455.85</v>
      </c>
      <c r="X113" s="236"/>
      <c r="Y113" s="86">
        <v>0.4</v>
      </c>
      <c r="Z113" s="87">
        <f t="shared" si="25"/>
        <v>182.34000000000003</v>
      </c>
      <c r="AA113" s="88">
        <f t="shared" si="26"/>
        <v>273.51</v>
      </c>
    </row>
    <row r="114" spans="1:27" ht="13.5" customHeight="1">
      <c r="A114" s="223" t="s">
        <v>338</v>
      </c>
      <c r="B114" s="224"/>
      <c r="C114" s="46" t="s">
        <v>339</v>
      </c>
      <c r="D114" s="51">
        <v>875.57</v>
      </c>
      <c r="E114" s="52">
        <v>0.4</v>
      </c>
      <c r="F114" s="53">
        <f t="shared" si="19"/>
        <v>350.22800000000007</v>
      </c>
      <c r="G114" s="53">
        <f t="shared" si="20"/>
        <v>525.34199999999998</v>
      </c>
      <c r="H114" s="46" t="s">
        <v>340</v>
      </c>
      <c r="I114" s="53">
        <v>1194.58</v>
      </c>
      <c r="J114" s="52">
        <v>0.4</v>
      </c>
      <c r="K114" s="53">
        <f t="shared" si="21"/>
        <v>477.83199999999999</v>
      </c>
      <c r="L114" s="53">
        <f t="shared" si="22"/>
        <v>716.74799999999993</v>
      </c>
      <c r="M114" s="89"/>
      <c r="N114" s="93" t="s">
        <v>333</v>
      </c>
      <c r="O114" s="225" t="s">
        <v>341</v>
      </c>
      <c r="P114" s="226"/>
      <c r="Q114" s="236">
        <v>347.02</v>
      </c>
      <c r="R114" s="236"/>
      <c r="S114" s="91">
        <v>0.4</v>
      </c>
      <c r="T114" s="92">
        <f t="shared" si="23"/>
        <v>138.80799999999999</v>
      </c>
      <c r="U114" s="92">
        <f t="shared" si="24"/>
        <v>208.21199999999999</v>
      </c>
      <c r="V114" s="85" t="s">
        <v>342</v>
      </c>
      <c r="W114" s="236">
        <v>472.45</v>
      </c>
      <c r="X114" s="236"/>
      <c r="Y114" s="86">
        <v>0.4</v>
      </c>
      <c r="Z114" s="87">
        <f t="shared" si="25"/>
        <v>188.98000000000002</v>
      </c>
      <c r="AA114" s="88">
        <f t="shared" si="26"/>
        <v>283.46999999999997</v>
      </c>
    </row>
    <row r="115" spans="1:27" ht="13.5" customHeight="1">
      <c r="A115" s="223" t="s">
        <v>343</v>
      </c>
      <c r="B115" s="224"/>
      <c r="C115" s="46" t="s">
        <v>344</v>
      </c>
      <c r="D115" s="51">
        <v>907.65</v>
      </c>
      <c r="E115" s="52">
        <v>0.4</v>
      </c>
      <c r="F115" s="53">
        <f t="shared" si="19"/>
        <v>363.06</v>
      </c>
      <c r="G115" s="53">
        <f t="shared" si="20"/>
        <v>544.58999999999992</v>
      </c>
      <c r="H115" s="46" t="s">
        <v>345</v>
      </c>
      <c r="I115" s="53">
        <v>1227.99</v>
      </c>
      <c r="J115" s="52">
        <v>0.4</v>
      </c>
      <c r="K115" s="53">
        <f t="shared" si="21"/>
        <v>491.19600000000003</v>
      </c>
      <c r="L115" s="53">
        <f t="shared" si="22"/>
        <v>736.79399999999998</v>
      </c>
      <c r="M115" s="89"/>
      <c r="N115" s="93" t="s">
        <v>343</v>
      </c>
      <c r="O115" s="225" t="s">
        <v>346</v>
      </c>
      <c r="P115" s="226"/>
      <c r="Q115" s="236">
        <v>348.35</v>
      </c>
      <c r="R115" s="236"/>
      <c r="S115" s="91">
        <v>0.4</v>
      </c>
      <c r="T115" s="92">
        <f t="shared" si="23"/>
        <v>139.34</v>
      </c>
      <c r="U115" s="92">
        <f t="shared" si="24"/>
        <v>209.01000000000002</v>
      </c>
      <c r="V115" s="85" t="s">
        <v>347</v>
      </c>
      <c r="W115" s="236">
        <v>507.19</v>
      </c>
      <c r="X115" s="236"/>
      <c r="Y115" s="86">
        <v>0.4</v>
      </c>
      <c r="Z115" s="87">
        <f t="shared" si="25"/>
        <v>202.876</v>
      </c>
      <c r="AA115" s="88">
        <f t="shared" si="26"/>
        <v>304.31399999999996</v>
      </c>
    </row>
    <row r="116" spans="1:27" ht="13.5" customHeight="1">
      <c r="A116" s="223" t="s">
        <v>348</v>
      </c>
      <c r="B116" s="224"/>
      <c r="C116" s="46" t="s">
        <v>349</v>
      </c>
      <c r="D116" s="51">
        <v>978.92</v>
      </c>
      <c r="E116" s="52">
        <v>0.4</v>
      </c>
      <c r="F116" s="53">
        <f t="shared" si="19"/>
        <v>391.56799999999998</v>
      </c>
      <c r="G116" s="53">
        <f t="shared" si="20"/>
        <v>587.35199999999998</v>
      </c>
      <c r="H116" s="46" t="s">
        <v>350</v>
      </c>
      <c r="I116" s="53">
        <v>1343.56</v>
      </c>
      <c r="J116" s="52">
        <v>0.4</v>
      </c>
      <c r="K116" s="53">
        <f t="shared" si="21"/>
        <v>537.42399999999998</v>
      </c>
      <c r="L116" s="53">
        <f t="shared" si="22"/>
        <v>806.13599999999997</v>
      </c>
      <c r="M116" s="89"/>
      <c r="N116" s="93" t="s">
        <v>348</v>
      </c>
      <c r="O116" s="225" t="s">
        <v>351</v>
      </c>
      <c r="P116" s="226"/>
      <c r="Q116" s="236">
        <v>467.8</v>
      </c>
      <c r="R116" s="236"/>
      <c r="S116" s="91">
        <v>0.4</v>
      </c>
      <c r="T116" s="92">
        <f t="shared" si="23"/>
        <v>187.12</v>
      </c>
      <c r="U116" s="92">
        <f t="shared" si="24"/>
        <v>280.68</v>
      </c>
      <c r="V116" s="85" t="s">
        <v>352</v>
      </c>
      <c r="W116" s="236">
        <v>589.04</v>
      </c>
      <c r="X116" s="236"/>
      <c r="Y116" s="86">
        <v>0.4</v>
      </c>
      <c r="Z116" s="87">
        <f t="shared" si="25"/>
        <v>235.61599999999999</v>
      </c>
      <c r="AA116" s="88">
        <f t="shared" si="26"/>
        <v>353.42399999999998</v>
      </c>
    </row>
    <row r="117" spans="1:27" ht="13.5" customHeight="1">
      <c r="A117" s="223" t="s">
        <v>353</v>
      </c>
      <c r="B117" s="224"/>
      <c r="C117" s="46" t="s">
        <v>354</v>
      </c>
      <c r="D117" s="51">
        <v>978.92</v>
      </c>
      <c r="E117" s="52">
        <v>0.4</v>
      </c>
      <c r="F117" s="53">
        <f t="shared" si="19"/>
        <v>391.56799999999998</v>
      </c>
      <c r="G117" s="53">
        <f t="shared" si="20"/>
        <v>587.35199999999998</v>
      </c>
      <c r="H117" s="46" t="s">
        <v>355</v>
      </c>
      <c r="I117" s="53">
        <v>1343.56</v>
      </c>
      <c r="J117" s="52">
        <v>0.4</v>
      </c>
      <c r="K117" s="53">
        <f t="shared" si="21"/>
        <v>537.42399999999998</v>
      </c>
      <c r="L117" s="53">
        <f t="shared" si="22"/>
        <v>806.13599999999997</v>
      </c>
      <c r="M117" s="89"/>
      <c r="N117" s="93" t="s">
        <v>356</v>
      </c>
      <c r="O117" s="225" t="s">
        <v>357</v>
      </c>
      <c r="P117" s="226"/>
      <c r="Q117" s="236">
        <v>467.8</v>
      </c>
      <c r="R117" s="236"/>
      <c r="S117" s="91">
        <v>0.4</v>
      </c>
      <c r="T117" s="92">
        <f t="shared" si="23"/>
        <v>187.12</v>
      </c>
      <c r="U117" s="92">
        <f t="shared" si="24"/>
        <v>280.68</v>
      </c>
      <c r="V117" s="85" t="s">
        <v>358</v>
      </c>
      <c r="W117" s="236">
        <v>589.04</v>
      </c>
      <c r="X117" s="236"/>
      <c r="Y117" s="86">
        <v>0.4</v>
      </c>
      <c r="Z117" s="87">
        <f t="shared" si="25"/>
        <v>235.61599999999999</v>
      </c>
      <c r="AA117" s="88">
        <f t="shared" si="26"/>
        <v>353.42399999999998</v>
      </c>
    </row>
    <row r="118" spans="1:27" ht="13.5" customHeight="1">
      <c r="A118" s="223" t="s">
        <v>356</v>
      </c>
      <c r="B118" s="224"/>
      <c r="C118" s="46" t="s">
        <v>359</v>
      </c>
      <c r="D118" s="51">
        <v>978.92</v>
      </c>
      <c r="E118" s="52">
        <v>0.4</v>
      </c>
      <c r="F118" s="53">
        <f t="shared" si="19"/>
        <v>391.56799999999998</v>
      </c>
      <c r="G118" s="53">
        <f t="shared" si="20"/>
        <v>587.35199999999998</v>
      </c>
      <c r="H118" s="46" t="s">
        <v>360</v>
      </c>
      <c r="I118" s="53">
        <v>1343.56</v>
      </c>
      <c r="J118" s="52">
        <v>0.4</v>
      </c>
      <c r="K118" s="53">
        <f t="shared" si="21"/>
        <v>537.42399999999998</v>
      </c>
      <c r="L118" s="53">
        <f t="shared" si="22"/>
        <v>806.13599999999997</v>
      </c>
      <c r="M118" s="89"/>
      <c r="N118" s="93" t="s">
        <v>361</v>
      </c>
      <c r="O118" s="225" t="s">
        <v>362</v>
      </c>
      <c r="P118" s="226"/>
      <c r="Q118" s="236">
        <v>467.8</v>
      </c>
      <c r="R118" s="236"/>
      <c r="S118" s="91">
        <v>0.4</v>
      </c>
      <c r="T118" s="92">
        <f t="shared" si="23"/>
        <v>187.12</v>
      </c>
      <c r="U118" s="92">
        <f t="shared" si="24"/>
        <v>280.68</v>
      </c>
      <c r="V118" s="85" t="s">
        <v>363</v>
      </c>
      <c r="W118" s="236">
        <v>589.04</v>
      </c>
      <c r="X118" s="236"/>
      <c r="Y118" s="86">
        <v>0.4</v>
      </c>
      <c r="Z118" s="87">
        <f t="shared" si="25"/>
        <v>235.61599999999999</v>
      </c>
      <c r="AA118" s="88">
        <f t="shared" si="26"/>
        <v>353.42399999999998</v>
      </c>
    </row>
    <row r="119" spans="1:27" ht="13.5" customHeight="1">
      <c r="A119" s="223" t="s">
        <v>361</v>
      </c>
      <c r="B119" s="224"/>
      <c r="C119" s="46" t="s">
        <v>364</v>
      </c>
      <c r="D119" s="51">
        <v>978.92</v>
      </c>
      <c r="E119" s="52">
        <v>0.4</v>
      </c>
      <c r="F119" s="53">
        <f t="shared" si="19"/>
        <v>391.56799999999998</v>
      </c>
      <c r="G119" s="53">
        <f t="shared" si="20"/>
        <v>587.35199999999998</v>
      </c>
      <c r="H119" s="46" t="s">
        <v>365</v>
      </c>
      <c r="I119" s="53">
        <v>1343.56</v>
      </c>
      <c r="J119" s="52">
        <v>0.4</v>
      </c>
      <c r="K119" s="53">
        <f t="shared" si="21"/>
        <v>537.42399999999998</v>
      </c>
      <c r="L119" s="53">
        <f t="shared" si="22"/>
        <v>806.13599999999997</v>
      </c>
      <c r="M119" s="89"/>
      <c r="N119" s="93" t="s">
        <v>366</v>
      </c>
      <c r="O119" s="225" t="s">
        <v>367</v>
      </c>
      <c r="P119" s="226"/>
      <c r="Q119" s="236">
        <v>467.8</v>
      </c>
      <c r="R119" s="236"/>
      <c r="S119" s="91">
        <v>0.4</v>
      </c>
      <c r="T119" s="92">
        <f t="shared" si="23"/>
        <v>187.12</v>
      </c>
      <c r="U119" s="92">
        <f t="shared" si="24"/>
        <v>280.68</v>
      </c>
      <c r="V119" s="85" t="s">
        <v>368</v>
      </c>
      <c r="W119" s="236">
        <v>589.04</v>
      </c>
      <c r="X119" s="236"/>
      <c r="Y119" s="86">
        <v>0.4</v>
      </c>
      <c r="Z119" s="87">
        <f t="shared" si="25"/>
        <v>235.61599999999999</v>
      </c>
      <c r="AA119" s="88">
        <f t="shared" si="26"/>
        <v>353.42399999999998</v>
      </c>
    </row>
    <row r="120" spans="1:27" ht="13.5" customHeight="1">
      <c r="A120" s="223" t="s">
        <v>366</v>
      </c>
      <c r="B120" s="224"/>
      <c r="C120" s="46" t="s">
        <v>369</v>
      </c>
      <c r="D120" s="51">
        <v>1081.1199999999999</v>
      </c>
      <c r="E120" s="52">
        <v>0.4</v>
      </c>
      <c r="F120" s="53">
        <f t="shared" si="19"/>
        <v>432.44799999999998</v>
      </c>
      <c r="G120" s="53">
        <f t="shared" si="20"/>
        <v>648.67199999999991</v>
      </c>
      <c r="H120" s="46" t="s">
        <v>370</v>
      </c>
      <c r="I120" s="53">
        <v>1343.56</v>
      </c>
      <c r="J120" s="52">
        <v>0.4</v>
      </c>
      <c r="K120" s="53">
        <f t="shared" si="21"/>
        <v>537.42399999999998</v>
      </c>
      <c r="L120" s="53">
        <f t="shared" si="22"/>
        <v>806.13599999999997</v>
      </c>
      <c r="M120" s="89"/>
      <c r="N120" s="93" t="s">
        <v>371</v>
      </c>
      <c r="O120" s="225" t="s">
        <v>372</v>
      </c>
      <c r="P120" s="226"/>
      <c r="Q120" s="236">
        <v>467.8</v>
      </c>
      <c r="R120" s="236"/>
      <c r="S120" s="91">
        <v>0.4</v>
      </c>
      <c r="T120" s="92">
        <f t="shared" si="23"/>
        <v>187.12</v>
      </c>
      <c r="U120" s="92">
        <f t="shared" si="24"/>
        <v>280.68</v>
      </c>
      <c r="V120" s="85" t="s">
        <v>373</v>
      </c>
      <c r="W120" s="236">
        <v>589.04</v>
      </c>
      <c r="X120" s="236"/>
      <c r="Y120" s="86">
        <v>0.4</v>
      </c>
      <c r="Z120" s="87">
        <f t="shared" si="25"/>
        <v>235.61599999999999</v>
      </c>
      <c r="AA120" s="88">
        <f t="shared" si="26"/>
        <v>353.42399999999998</v>
      </c>
    </row>
    <row r="121" spans="1:27" ht="13.5" customHeight="1">
      <c r="A121" s="223" t="s">
        <v>371</v>
      </c>
      <c r="B121" s="224"/>
      <c r="C121" s="46" t="s">
        <v>374</v>
      </c>
      <c r="D121" s="51">
        <v>1089.18</v>
      </c>
      <c r="E121" s="52">
        <v>0.4</v>
      </c>
      <c r="F121" s="53">
        <f t="shared" si="19"/>
        <v>435.67200000000003</v>
      </c>
      <c r="G121" s="53">
        <f t="shared" si="20"/>
        <v>653.50800000000004</v>
      </c>
      <c r="H121" s="46" t="s">
        <v>375</v>
      </c>
      <c r="I121" s="53">
        <v>1494.89</v>
      </c>
      <c r="J121" s="52">
        <v>0.4</v>
      </c>
      <c r="K121" s="53">
        <f t="shared" si="21"/>
        <v>597.95600000000002</v>
      </c>
      <c r="L121" s="53">
        <f t="shared" si="22"/>
        <v>896.93400000000008</v>
      </c>
      <c r="M121" s="89"/>
      <c r="N121" s="93" t="s">
        <v>376</v>
      </c>
      <c r="O121" s="225" t="s">
        <v>377</v>
      </c>
      <c r="P121" s="226"/>
      <c r="Q121" s="236">
        <v>520.49</v>
      </c>
      <c r="R121" s="236"/>
      <c r="S121" s="91">
        <v>0.4</v>
      </c>
      <c r="T121" s="92">
        <f t="shared" si="23"/>
        <v>208.19600000000003</v>
      </c>
      <c r="U121" s="92">
        <f t="shared" si="24"/>
        <v>312.29399999999998</v>
      </c>
      <c r="V121" s="85" t="s">
        <v>378</v>
      </c>
      <c r="W121" s="236">
        <v>655.39</v>
      </c>
      <c r="X121" s="236"/>
      <c r="Y121" s="86">
        <v>0.4</v>
      </c>
      <c r="Z121" s="87">
        <f t="shared" si="25"/>
        <v>262.15600000000001</v>
      </c>
      <c r="AA121" s="88">
        <f t="shared" si="26"/>
        <v>393.23399999999998</v>
      </c>
    </row>
    <row r="122" spans="1:27" ht="13.5" customHeight="1">
      <c r="A122" s="223" t="s">
        <v>379</v>
      </c>
      <c r="B122" s="224"/>
      <c r="C122" s="46" t="s">
        <v>380</v>
      </c>
      <c r="D122" s="51">
        <v>1381.95</v>
      </c>
      <c r="E122" s="52">
        <v>0.4</v>
      </c>
      <c r="F122" s="53">
        <f t="shared" si="19"/>
        <v>552.78000000000009</v>
      </c>
      <c r="G122" s="53">
        <f t="shared" si="20"/>
        <v>829.17</v>
      </c>
      <c r="H122" s="46" t="s">
        <v>381</v>
      </c>
      <c r="I122" s="53">
        <v>1866.56</v>
      </c>
      <c r="J122" s="52">
        <v>0.4</v>
      </c>
      <c r="K122" s="53">
        <f t="shared" si="21"/>
        <v>746.62400000000002</v>
      </c>
      <c r="L122" s="53">
        <f t="shared" si="22"/>
        <v>1119.9359999999999</v>
      </c>
      <c r="M122" s="89"/>
      <c r="N122" s="93" t="s">
        <v>379</v>
      </c>
      <c r="O122" s="225" t="s">
        <v>382</v>
      </c>
      <c r="P122" s="226"/>
      <c r="Q122" s="236">
        <v>556.62</v>
      </c>
      <c r="R122" s="236"/>
      <c r="S122" s="91">
        <v>0.4</v>
      </c>
      <c r="T122" s="92">
        <f t="shared" si="23"/>
        <v>222.64800000000002</v>
      </c>
      <c r="U122" s="92">
        <f t="shared" si="24"/>
        <v>333.97199999999998</v>
      </c>
      <c r="V122" s="85" t="s">
        <v>383</v>
      </c>
      <c r="W122" s="236">
        <v>755.71</v>
      </c>
      <c r="X122" s="236"/>
      <c r="Y122" s="86">
        <v>0.4</v>
      </c>
      <c r="Z122" s="87">
        <f t="shared" si="25"/>
        <v>302.28400000000005</v>
      </c>
      <c r="AA122" s="88">
        <f t="shared" si="26"/>
        <v>453.42599999999999</v>
      </c>
    </row>
    <row r="123" spans="1:27" ht="13.5" customHeight="1">
      <c r="A123" s="223" t="s">
        <v>384</v>
      </c>
      <c r="B123" s="224"/>
      <c r="C123" s="46" t="s">
        <v>385</v>
      </c>
      <c r="D123" s="51">
        <v>1381.95</v>
      </c>
      <c r="E123" s="52">
        <v>0.4</v>
      </c>
      <c r="F123" s="53">
        <f t="shared" si="19"/>
        <v>552.78000000000009</v>
      </c>
      <c r="G123" s="53">
        <f t="shared" si="20"/>
        <v>829.17</v>
      </c>
      <c r="H123" s="46" t="s">
        <v>386</v>
      </c>
      <c r="I123" s="53">
        <v>1866.56</v>
      </c>
      <c r="J123" s="52">
        <v>0.4</v>
      </c>
      <c r="K123" s="53">
        <f t="shared" si="21"/>
        <v>746.62400000000002</v>
      </c>
      <c r="L123" s="53">
        <f t="shared" si="22"/>
        <v>1119.9359999999999</v>
      </c>
      <c r="M123" s="89"/>
      <c r="N123" s="93" t="s">
        <v>384</v>
      </c>
      <c r="O123" s="225" t="s">
        <v>387</v>
      </c>
      <c r="P123" s="226"/>
      <c r="Q123" s="236">
        <v>556.62</v>
      </c>
      <c r="R123" s="236"/>
      <c r="S123" s="91">
        <v>0.4</v>
      </c>
      <c r="T123" s="92">
        <f t="shared" si="23"/>
        <v>222.64800000000002</v>
      </c>
      <c r="U123" s="92">
        <f t="shared" si="24"/>
        <v>333.97199999999998</v>
      </c>
      <c r="V123" s="85" t="s">
        <v>388</v>
      </c>
      <c r="W123" s="236">
        <v>755.71</v>
      </c>
      <c r="X123" s="236"/>
      <c r="Y123" s="86">
        <v>0.4</v>
      </c>
      <c r="Z123" s="87">
        <f t="shared" si="25"/>
        <v>302.28400000000005</v>
      </c>
      <c r="AA123" s="88">
        <f t="shared" si="26"/>
        <v>453.42599999999999</v>
      </c>
    </row>
    <row r="124" spans="1:27" ht="13.5" customHeight="1">
      <c r="A124" s="223" t="s">
        <v>389</v>
      </c>
      <c r="B124" s="224"/>
      <c r="C124" s="46" t="s">
        <v>390</v>
      </c>
      <c r="D124" s="51">
        <v>1381.95</v>
      </c>
      <c r="E124" s="52">
        <v>0.4</v>
      </c>
      <c r="F124" s="53">
        <f t="shared" si="19"/>
        <v>552.78000000000009</v>
      </c>
      <c r="G124" s="53">
        <f t="shared" si="20"/>
        <v>829.17</v>
      </c>
      <c r="H124" s="46" t="s">
        <v>391</v>
      </c>
      <c r="I124" s="53">
        <v>1866.56</v>
      </c>
      <c r="J124" s="52">
        <v>0.4</v>
      </c>
      <c r="K124" s="53">
        <f t="shared" si="21"/>
        <v>746.62400000000002</v>
      </c>
      <c r="L124" s="53">
        <f t="shared" si="22"/>
        <v>1119.9359999999999</v>
      </c>
      <c r="M124" s="89"/>
      <c r="N124" s="93" t="s">
        <v>389</v>
      </c>
      <c r="O124" s="225" t="s">
        <v>392</v>
      </c>
      <c r="P124" s="226"/>
      <c r="Q124" s="236">
        <v>556.62</v>
      </c>
      <c r="R124" s="236"/>
      <c r="S124" s="91">
        <v>0.4</v>
      </c>
      <c r="T124" s="92">
        <f t="shared" si="23"/>
        <v>222.64800000000002</v>
      </c>
      <c r="U124" s="92">
        <f t="shared" si="24"/>
        <v>333.97199999999998</v>
      </c>
      <c r="V124" s="85" t="s">
        <v>393</v>
      </c>
      <c r="W124" s="236">
        <v>755.71</v>
      </c>
      <c r="X124" s="236"/>
      <c r="Y124" s="86">
        <v>0.4</v>
      </c>
      <c r="Z124" s="87">
        <f t="shared" si="25"/>
        <v>302.28400000000005</v>
      </c>
      <c r="AA124" s="88">
        <f t="shared" si="26"/>
        <v>453.42599999999999</v>
      </c>
    </row>
    <row r="125" spans="1:27" ht="13.5" customHeight="1">
      <c r="A125" s="223" t="s">
        <v>394</v>
      </c>
      <c r="B125" s="224"/>
      <c r="C125" s="46" t="s">
        <v>395</v>
      </c>
      <c r="D125" s="51">
        <v>1537.61</v>
      </c>
      <c r="E125" s="52">
        <v>0.4</v>
      </c>
      <c r="F125" s="53">
        <f t="shared" si="19"/>
        <v>615.04399999999998</v>
      </c>
      <c r="G125" s="53">
        <f t="shared" si="20"/>
        <v>922.56599999999992</v>
      </c>
      <c r="H125" s="46" t="s">
        <v>396</v>
      </c>
      <c r="I125" s="53">
        <v>2076.81</v>
      </c>
      <c r="J125" s="52">
        <v>0.4</v>
      </c>
      <c r="K125" s="53">
        <f t="shared" si="21"/>
        <v>830.72400000000005</v>
      </c>
      <c r="L125" s="53">
        <f t="shared" si="22"/>
        <v>1246.0859999999998</v>
      </c>
      <c r="M125" s="89"/>
      <c r="N125" s="93" t="s">
        <v>394</v>
      </c>
      <c r="O125" s="225" t="s">
        <v>397</v>
      </c>
      <c r="P125" s="226"/>
      <c r="Q125" s="236">
        <v>557.89</v>
      </c>
      <c r="R125" s="236"/>
      <c r="S125" s="91">
        <v>0.4</v>
      </c>
      <c r="T125" s="92">
        <f t="shared" si="23"/>
        <v>223.15600000000001</v>
      </c>
      <c r="U125" s="92">
        <f t="shared" si="24"/>
        <v>334.73399999999998</v>
      </c>
      <c r="V125" s="85" t="s">
        <v>398</v>
      </c>
      <c r="W125" s="236">
        <v>764.78</v>
      </c>
      <c r="X125" s="236"/>
      <c r="Y125" s="86">
        <v>0.4</v>
      </c>
      <c r="Z125" s="87">
        <f t="shared" si="25"/>
        <v>305.91199999999998</v>
      </c>
      <c r="AA125" s="88">
        <f t="shared" si="26"/>
        <v>458.86799999999999</v>
      </c>
    </row>
    <row r="126" spans="1:27" ht="13.5" customHeight="1">
      <c r="A126" s="223" t="s">
        <v>399</v>
      </c>
      <c r="B126" s="224"/>
      <c r="C126" s="46" t="s">
        <v>400</v>
      </c>
      <c r="D126" s="51">
        <v>1386.73</v>
      </c>
      <c r="E126" s="52">
        <v>0.4</v>
      </c>
      <c r="F126" s="53">
        <f t="shared" si="19"/>
        <v>554.69200000000001</v>
      </c>
      <c r="G126" s="53">
        <f t="shared" si="20"/>
        <v>832.03800000000001</v>
      </c>
      <c r="H126" s="46" t="s">
        <v>401</v>
      </c>
      <c r="I126" s="53">
        <v>1974.58</v>
      </c>
      <c r="J126" s="52">
        <v>0.4</v>
      </c>
      <c r="K126" s="53">
        <f t="shared" si="21"/>
        <v>789.83199999999999</v>
      </c>
      <c r="L126" s="53">
        <f t="shared" si="22"/>
        <v>1184.748</v>
      </c>
      <c r="M126" s="89"/>
      <c r="N126" s="93" t="s">
        <v>402</v>
      </c>
      <c r="O126" s="225" t="s">
        <v>403</v>
      </c>
      <c r="P126" s="226"/>
      <c r="Q126" s="236">
        <v>619.32000000000005</v>
      </c>
      <c r="R126" s="236"/>
      <c r="S126" s="91">
        <v>0.4</v>
      </c>
      <c r="T126" s="92">
        <f t="shared" si="23"/>
        <v>247.72800000000004</v>
      </c>
      <c r="U126" s="92">
        <f t="shared" si="24"/>
        <v>371.59199999999998</v>
      </c>
      <c r="V126" s="85" t="s">
        <v>404</v>
      </c>
      <c r="W126" s="236">
        <v>840.83</v>
      </c>
      <c r="X126" s="236"/>
      <c r="Y126" s="86">
        <v>0.4</v>
      </c>
      <c r="Z126" s="87">
        <f t="shared" si="25"/>
        <v>336.33200000000005</v>
      </c>
      <c r="AA126" s="88">
        <f t="shared" si="26"/>
        <v>504.49799999999999</v>
      </c>
    </row>
    <row r="127" spans="1:27" ht="13.5" customHeight="1">
      <c r="A127" s="223" t="s">
        <v>405</v>
      </c>
      <c r="B127" s="224"/>
      <c r="C127" s="46" t="s">
        <v>406</v>
      </c>
      <c r="D127" s="51">
        <v>1430.81</v>
      </c>
      <c r="E127" s="52">
        <v>0.4</v>
      </c>
      <c r="F127" s="53">
        <f t="shared" si="19"/>
        <v>572.32399999999996</v>
      </c>
      <c r="G127" s="53">
        <f t="shared" si="20"/>
        <v>858.48599999999999</v>
      </c>
      <c r="H127" s="46" t="s">
        <v>407</v>
      </c>
      <c r="I127" s="53">
        <v>1986.12</v>
      </c>
      <c r="J127" s="52">
        <v>0.4</v>
      </c>
      <c r="K127" s="53">
        <f t="shared" si="21"/>
        <v>794.44799999999998</v>
      </c>
      <c r="L127" s="53">
        <f t="shared" si="22"/>
        <v>1191.672</v>
      </c>
      <c r="M127" s="89"/>
      <c r="N127" s="93" t="s">
        <v>399</v>
      </c>
      <c r="O127" s="225" t="s">
        <v>408</v>
      </c>
      <c r="P127" s="226"/>
      <c r="Q127" s="236">
        <v>736.51</v>
      </c>
      <c r="R127" s="236"/>
      <c r="S127" s="91">
        <v>0.4</v>
      </c>
      <c r="T127" s="92">
        <f t="shared" si="23"/>
        <v>294.60399999999998</v>
      </c>
      <c r="U127" s="92">
        <f t="shared" si="24"/>
        <v>441.90600000000001</v>
      </c>
      <c r="V127" s="85" t="s">
        <v>409</v>
      </c>
      <c r="W127" s="236">
        <v>910.5</v>
      </c>
      <c r="X127" s="236"/>
      <c r="Y127" s="86">
        <v>0.4</v>
      </c>
      <c r="Z127" s="87">
        <f t="shared" si="25"/>
        <v>364.20000000000005</v>
      </c>
      <c r="AA127" s="88">
        <f t="shared" si="26"/>
        <v>546.29999999999995</v>
      </c>
    </row>
    <row r="128" spans="1:27" ht="13.5" customHeight="1">
      <c r="A128" s="223" t="s">
        <v>410</v>
      </c>
      <c r="B128" s="224"/>
      <c r="C128" s="46" t="s">
        <v>411</v>
      </c>
      <c r="D128" s="51">
        <v>1519.67</v>
      </c>
      <c r="E128" s="52">
        <v>0.4</v>
      </c>
      <c r="F128" s="53">
        <f t="shared" si="19"/>
        <v>607.86800000000005</v>
      </c>
      <c r="G128" s="53">
        <f t="shared" si="20"/>
        <v>911.80200000000002</v>
      </c>
      <c r="H128" s="46" t="s">
        <v>412</v>
      </c>
      <c r="I128" s="53">
        <v>2079.54</v>
      </c>
      <c r="J128" s="52">
        <v>0.4</v>
      </c>
      <c r="K128" s="53">
        <f t="shared" si="21"/>
        <v>831.81600000000003</v>
      </c>
      <c r="L128" s="53">
        <f t="shared" si="22"/>
        <v>1247.7239999999999</v>
      </c>
      <c r="M128" s="89"/>
      <c r="N128" s="93" t="s">
        <v>405</v>
      </c>
      <c r="O128" s="225" t="s">
        <v>413</v>
      </c>
      <c r="P128" s="226"/>
      <c r="Q128" s="236">
        <v>736.51</v>
      </c>
      <c r="R128" s="236"/>
      <c r="S128" s="91">
        <v>0.4</v>
      </c>
      <c r="T128" s="92">
        <f t="shared" si="23"/>
        <v>294.60399999999998</v>
      </c>
      <c r="U128" s="92">
        <f t="shared" si="24"/>
        <v>441.90600000000001</v>
      </c>
      <c r="V128" s="85" t="s">
        <v>414</v>
      </c>
      <c r="W128" s="236">
        <v>910.5</v>
      </c>
      <c r="X128" s="236"/>
      <c r="Y128" s="86">
        <v>0.4</v>
      </c>
      <c r="Z128" s="87">
        <f t="shared" si="25"/>
        <v>364.20000000000005</v>
      </c>
      <c r="AA128" s="88">
        <f t="shared" si="26"/>
        <v>546.29999999999995</v>
      </c>
    </row>
    <row r="129" spans="1:27" ht="13.5" customHeight="1">
      <c r="A129" s="223" t="s">
        <v>415</v>
      </c>
      <c r="B129" s="224"/>
      <c r="C129" s="46" t="s">
        <v>416</v>
      </c>
      <c r="D129" s="51">
        <v>1481.59</v>
      </c>
      <c r="E129" s="52">
        <v>0.4</v>
      </c>
      <c r="F129" s="53">
        <f t="shared" si="19"/>
        <v>592.63599999999997</v>
      </c>
      <c r="G129" s="53">
        <f t="shared" si="20"/>
        <v>888.95399999999995</v>
      </c>
      <c r="H129" s="46" t="s">
        <v>417</v>
      </c>
      <c r="I129" s="53">
        <v>2027.43</v>
      </c>
      <c r="J129" s="52">
        <v>0.4</v>
      </c>
      <c r="K129" s="53">
        <f t="shared" si="21"/>
        <v>810.97200000000009</v>
      </c>
      <c r="L129" s="53">
        <f t="shared" si="22"/>
        <v>1216.4580000000001</v>
      </c>
      <c r="M129" s="89"/>
      <c r="N129" s="93" t="s">
        <v>410</v>
      </c>
      <c r="O129" s="225" t="s">
        <v>418</v>
      </c>
      <c r="P129" s="226"/>
      <c r="Q129" s="236">
        <v>736.51</v>
      </c>
      <c r="R129" s="236"/>
      <c r="S129" s="91">
        <v>0.4</v>
      </c>
      <c r="T129" s="92">
        <f t="shared" si="23"/>
        <v>294.60399999999998</v>
      </c>
      <c r="U129" s="92">
        <f t="shared" si="24"/>
        <v>441.90600000000001</v>
      </c>
      <c r="V129" s="85" t="s">
        <v>419</v>
      </c>
      <c r="W129" s="236">
        <v>910.5</v>
      </c>
      <c r="X129" s="236"/>
      <c r="Y129" s="86">
        <v>0.4</v>
      </c>
      <c r="Z129" s="87">
        <f t="shared" si="25"/>
        <v>364.20000000000005</v>
      </c>
      <c r="AA129" s="88">
        <f t="shared" si="26"/>
        <v>546.29999999999995</v>
      </c>
    </row>
    <row r="130" spans="1:27" ht="13.5" customHeight="1">
      <c r="A130" s="223" t="s">
        <v>420</v>
      </c>
      <c r="B130" s="224"/>
      <c r="C130" s="46" t="s">
        <v>421</v>
      </c>
      <c r="D130" s="51">
        <v>1736.03</v>
      </c>
      <c r="E130" s="52">
        <v>0.4</v>
      </c>
      <c r="F130" s="53">
        <f t="shared" si="19"/>
        <v>694.41200000000003</v>
      </c>
      <c r="G130" s="53">
        <f t="shared" si="20"/>
        <v>1041.6179999999999</v>
      </c>
      <c r="H130" s="46" t="s">
        <v>422</v>
      </c>
      <c r="I130" s="53">
        <v>2471.9499999999998</v>
      </c>
      <c r="J130" s="52">
        <v>0.4</v>
      </c>
      <c r="K130" s="53">
        <f t="shared" si="21"/>
        <v>988.78</v>
      </c>
      <c r="L130" s="53">
        <f t="shared" si="22"/>
        <v>1483.1699999999998</v>
      </c>
      <c r="M130" s="89"/>
      <c r="N130" s="93" t="s">
        <v>415</v>
      </c>
      <c r="O130" s="225" t="s">
        <v>423</v>
      </c>
      <c r="P130" s="226"/>
      <c r="Q130" s="236">
        <v>736.51</v>
      </c>
      <c r="R130" s="236"/>
      <c r="S130" s="91">
        <v>0.4</v>
      </c>
      <c r="T130" s="92">
        <f t="shared" si="23"/>
        <v>294.60399999999998</v>
      </c>
      <c r="U130" s="92">
        <f t="shared" si="24"/>
        <v>441.90600000000001</v>
      </c>
      <c r="V130" s="85" t="s">
        <v>424</v>
      </c>
      <c r="W130" s="236">
        <v>910.5</v>
      </c>
      <c r="X130" s="236"/>
      <c r="Y130" s="86">
        <v>0.4</v>
      </c>
      <c r="Z130" s="87">
        <f t="shared" si="25"/>
        <v>364.20000000000005</v>
      </c>
      <c r="AA130" s="88">
        <f t="shared" si="26"/>
        <v>546.29999999999995</v>
      </c>
    </row>
    <row r="131" spans="1:27" ht="13.5" customHeight="1">
      <c r="A131" s="223" t="s">
        <v>425</v>
      </c>
      <c r="B131" s="224"/>
      <c r="C131" s="46" t="s">
        <v>426</v>
      </c>
      <c r="D131" s="51">
        <v>1542.93</v>
      </c>
      <c r="E131" s="52">
        <v>0.4</v>
      </c>
      <c r="F131" s="53">
        <f t="shared" si="19"/>
        <v>617.17200000000003</v>
      </c>
      <c r="G131" s="53">
        <f t="shared" si="20"/>
        <v>925.75800000000004</v>
      </c>
      <c r="H131" s="46" t="s">
        <v>427</v>
      </c>
      <c r="I131" s="53">
        <v>2196.9899999999998</v>
      </c>
      <c r="J131" s="52">
        <v>0.4</v>
      </c>
      <c r="K131" s="53">
        <f t="shared" si="21"/>
        <v>878.79599999999994</v>
      </c>
      <c r="L131" s="53">
        <f t="shared" si="22"/>
        <v>1318.194</v>
      </c>
      <c r="M131" s="89"/>
      <c r="N131" s="93" t="s">
        <v>420</v>
      </c>
      <c r="O131" s="225" t="s">
        <v>428</v>
      </c>
      <c r="P131" s="226"/>
      <c r="Q131" s="236">
        <v>736.51</v>
      </c>
      <c r="R131" s="236"/>
      <c r="S131" s="91">
        <v>0.4</v>
      </c>
      <c r="T131" s="92">
        <f t="shared" si="23"/>
        <v>294.60399999999998</v>
      </c>
      <c r="U131" s="92">
        <f t="shared" si="24"/>
        <v>441.90600000000001</v>
      </c>
      <c r="V131" s="85" t="s">
        <v>429</v>
      </c>
      <c r="W131" s="236">
        <v>910.5</v>
      </c>
      <c r="X131" s="236"/>
      <c r="Y131" s="86">
        <v>0.4</v>
      </c>
      <c r="Z131" s="87">
        <f t="shared" si="25"/>
        <v>364.20000000000005</v>
      </c>
      <c r="AA131" s="88">
        <f t="shared" si="26"/>
        <v>546.29999999999995</v>
      </c>
    </row>
    <row r="132" spans="1:27" ht="13.5" customHeight="1">
      <c r="A132" s="223" t="s">
        <v>430</v>
      </c>
      <c r="B132" s="224"/>
      <c r="C132" s="46" t="s">
        <v>431</v>
      </c>
      <c r="D132" s="51">
        <v>2856.29</v>
      </c>
      <c r="E132" s="52">
        <v>0.4</v>
      </c>
      <c r="F132" s="53">
        <f t="shared" si="19"/>
        <v>1142.5160000000001</v>
      </c>
      <c r="G132" s="53">
        <f t="shared" si="20"/>
        <v>1713.7739999999999</v>
      </c>
      <c r="H132" s="46" t="s">
        <v>432</v>
      </c>
      <c r="I132" s="53">
        <v>3634.74</v>
      </c>
      <c r="J132" s="52">
        <v>0.4</v>
      </c>
      <c r="K132" s="53">
        <f t="shared" si="21"/>
        <v>1453.896</v>
      </c>
      <c r="L132" s="53">
        <f t="shared" si="22"/>
        <v>2180.8440000000001</v>
      </c>
      <c r="M132" s="89"/>
      <c r="N132" s="93" t="s">
        <v>425</v>
      </c>
      <c r="O132" s="225" t="s">
        <v>433</v>
      </c>
      <c r="P132" s="226"/>
      <c r="Q132" s="236">
        <v>736.51</v>
      </c>
      <c r="R132" s="236"/>
      <c r="S132" s="91">
        <v>0.4</v>
      </c>
      <c r="T132" s="92">
        <f t="shared" si="23"/>
        <v>294.60399999999998</v>
      </c>
      <c r="U132" s="92">
        <f t="shared" si="24"/>
        <v>441.90600000000001</v>
      </c>
      <c r="V132" s="85" t="s">
        <v>434</v>
      </c>
      <c r="W132" s="236">
        <v>927.68</v>
      </c>
      <c r="X132" s="236"/>
      <c r="Y132" s="86">
        <v>0.4</v>
      </c>
      <c r="Z132" s="87">
        <f t="shared" si="25"/>
        <v>371.072</v>
      </c>
      <c r="AA132" s="88">
        <f t="shared" si="26"/>
        <v>556.60799999999995</v>
      </c>
    </row>
    <row r="133" spans="1:27" ht="13.5" customHeight="1">
      <c r="A133" s="223" t="s">
        <v>435</v>
      </c>
      <c r="B133" s="224"/>
      <c r="C133" s="46" t="s">
        <v>436</v>
      </c>
      <c r="D133" s="51">
        <v>2856.29</v>
      </c>
      <c r="E133" s="52">
        <v>0.4</v>
      </c>
      <c r="F133" s="53">
        <f t="shared" si="19"/>
        <v>1142.5160000000001</v>
      </c>
      <c r="G133" s="53">
        <f t="shared" si="20"/>
        <v>1713.7739999999999</v>
      </c>
      <c r="H133" s="46" t="s">
        <v>437</v>
      </c>
      <c r="I133" s="53">
        <v>3634.74</v>
      </c>
      <c r="J133" s="52">
        <v>0.4</v>
      </c>
      <c r="K133" s="53">
        <f t="shared" si="21"/>
        <v>1453.896</v>
      </c>
      <c r="L133" s="53">
        <f t="shared" si="22"/>
        <v>2180.8440000000001</v>
      </c>
      <c r="M133" s="89"/>
      <c r="N133" s="93" t="s">
        <v>438</v>
      </c>
      <c r="O133" s="225" t="s">
        <v>439</v>
      </c>
      <c r="P133" s="226"/>
      <c r="Q133" s="236">
        <v>819.47</v>
      </c>
      <c r="R133" s="236"/>
      <c r="S133" s="91">
        <v>0.4</v>
      </c>
      <c r="T133" s="92">
        <f t="shared" si="23"/>
        <v>327.78800000000001</v>
      </c>
      <c r="U133" s="92">
        <f t="shared" si="24"/>
        <v>491.68200000000002</v>
      </c>
      <c r="V133" s="85" t="s">
        <v>440</v>
      </c>
      <c r="W133" s="236">
        <v>1013.05</v>
      </c>
      <c r="X133" s="236"/>
      <c r="Y133" s="86">
        <v>0.4</v>
      </c>
      <c r="Z133" s="87">
        <f t="shared" si="25"/>
        <v>405.22</v>
      </c>
      <c r="AA133" s="88">
        <f t="shared" si="26"/>
        <v>607.82999999999993</v>
      </c>
    </row>
    <row r="134" spans="1:27" ht="13.5" customHeight="1">
      <c r="A134" s="223" t="s">
        <v>441</v>
      </c>
      <c r="B134" s="224"/>
      <c r="C134" s="46" t="s">
        <v>442</v>
      </c>
      <c r="D134" s="51">
        <v>2856.29</v>
      </c>
      <c r="E134" s="52">
        <v>0.4</v>
      </c>
      <c r="F134" s="53">
        <f t="shared" si="19"/>
        <v>1142.5160000000001</v>
      </c>
      <c r="G134" s="53">
        <f t="shared" si="20"/>
        <v>1713.7739999999999</v>
      </c>
      <c r="H134" s="46" t="s">
        <v>443</v>
      </c>
      <c r="I134" s="53">
        <v>3707.84</v>
      </c>
      <c r="J134" s="52">
        <v>0.4</v>
      </c>
      <c r="K134" s="53">
        <f t="shared" si="21"/>
        <v>1483.1360000000002</v>
      </c>
      <c r="L134" s="53">
        <f t="shared" si="22"/>
        <v>2224.7039999999997</v>
      </c>
      <c r="M134" s="89"/>
      <c r="N134" s="93" t="s">
        <v>435</v>
      </c>
      <c r="O134" s="225" t="s">
        <v>444</v>
      </c>
      <c r="P134" s="226"/>
      <c r="Q134" s="236">
        <v>804.84</v>
      </c>
      <c r="R134" s="236"/>
      <c r="S134" s="91">
        <v>0.4</v>
      </c>
      <c r="T134" s="92">
        <f t="shared" si="23"/>
        <v>321.93600000000004</v>
      </c>
      <c r="U134" s="92">
        <f t="shared" si="24"/>
        <v>482.904</v>
      </c>
      <c r="V134" s="85" t="s">
        <v>445</v>
      </c>
      <c r="W134" s="236">
        <v>1109.58</v>
      </c>
      <c r="X134" s="236"/>
      <c r="Y134" s="86">
        <v>0.4</v>
      </c>
      <c r="Z134" s="87">
        <f t="shared" si="25"/>
        <v>443.83199999999999</v>
      </c>
      <c r="AA134" s="88">
        <f t="shared" si="26"/>
        <v>665.74799999999993</v>
      </c>
    </row>
    <row r="135" spans="1:27" ht="13.5" customHeight="1">
      <c r="A135" s="223" t="s">
        <v>446</v>
      </c>
      <c r="B135" s="224"/>
      <c r="C135" s="46" t="s">
        <v>447</v>
      </c>
      <c r="D135" s="51">
        <v>2936.34</v>
      </c>
      <c r="E135" s="52">
        <v>0.4</v>
      </c>
      <c r="F135" s="53">
        <f t="shared" si="19"/>
        <v>1174.5360000000001</v>
      </c>
      <c r="G135" s="53">
        <f t="shared" si="20"/>
        <v>1761.8040000000001</v>
      </c>
      <c r="H135" s="46" t="s">
        <v>448</v>
      </c>
      <c r="I135" s="53">
        <v>4044.14</v>
      </c>
      <c r="J135" s="52">
        <v>0.4</v>
      </c>
      <c r="K135" s="53">
        <f t="shared" si="21"/>
        <v>1617.6559999999999</v>
      </c>
      <c r="L135" s="53">
        <f t="shared" si="22"/>
        <v>2426.4839999999999</v>
      </c>
      <c r="M135" s="89"/>
      <c r="N135" s="93" t="s">
        <v>449</v>
      </c>
      <c r="O135" s="225" t="s">
        <v>450</v>
      </c>
      <c r="P135" s="226"/>
      <c r="Q135" s="236">
        <v>804.84</v>
      </c>
      <c r="R135" s="236"/>
      <c r="S135" s="91">
        <v>0.4</v>
      </c>
      <c r="T135" s="92">
        <f t="shared" si="23"/>
        <v>321.93600000000004</v>
      </c>
      <c r="U135" s="92">
        <f t="shared" si="24"/>
        <v>482.904</v>
      </c>
      <c r="V135" s="85" t="s">
        <v>451</v>
      </c>
      <c r="W135" s="236">
        <v>1109.58</v>
      </c>
      <c r="X135" s="236"/>
      <c r="Y135" s="86">
        <v>0.4</v>
      </c>
      <c r="Z135" s="87">
        <f t="shared" si="25"/>
        <v>443.83199999999999</v>
      </c>
      <c r="AA135" s="88">
        <f t="shared" si="26"/>
        <v>665.74799999999993</v>
      </c>
    </row>
    <row r="136" spans="1:27" ht="13.5" customHeight="1">
      <c r="A136" s="223" t="s">
        <v>452</v>
      </c>
      <c r="B136" s="224"/>
      <c r="C136" s="46" t="s">
        <v>453</v>
      </c>
      <c r="D136" s="51">
        <v>3270.1</v>
      </c>
      <c r="E136" s="52">
        <v>0.4</v>
      </c>
      <c r="F136" s="53">
        <f t="shared" si="19"/>
        <v>1308.04</v>
      </c>
      <c r="G136" s="53">
        <f t="shared" si="20"/>
        <v>1962.06</v>
      </c>
      <c r="H136" s="46" t="s">
        <v>454</v>
      </c>
      <c r="I136" s="53">
        <v>4632.8599999999997</v>
      </c>
      <c r="J136" s="52">
        <v>0.4</v>
      </c>
      <c r="K136" s="53">
        <f t="shared" si="21"/>
        <v>1853.144</v>
      </c>
      <c r="L136" s="53">
        <f t="shared" si="22"/>
        <v>2779.7159999999994</v>
      </c>
      <c r="M136" s="89"/>
      <c r="N136" s="93" t="s">
        <v>455</v>
      </c>
      <c r="O136" s="225" t="s">
        <v>456</v>
      </c>
      <c r="P136" s="226"/>
      <c r="Q136" s="236">
        <v>804.84</v>
      </c>
      <c r="R136" s="236"/>
      <c r="S136" s="91">
        <v>0.4</v>
      </c>
      <c r="T136" s="92">
        <f t="shared" si="23"/>
        <v>321.93600000000004</v>
      </c>
      <c r="U136" s="92">
        <f t="shared" si="24"/>
        <v>482.904</v>
      </c>
      <c r="V136" s="85" t="s">
        <v>457</v>
      </c>
      <c r="W136" s="236">
        <v>1109.58</v>
      </c>
      <c r="X136" s="236"/>
      <c r="Y136" s="86">
        <v>0.4</v>
      </c>
      <c r="Z136" s="87">
        <f t="shared" si="25"/>
        <v>443.83199999999999</v>
      </c>
      <c r="AA136" s="88">
        <f t="shared" si="26"/>
        <v>665.74799999999993</v>
      </c>
    </row>
    <row r="137" spans="1:27" ht="13.5" customHeight="1" thickBot="1">
      <c r="A137" s="223" t="s">
        <v>458</v>
      </c>
      <c r="B137" s="224"/>
      <c r="C137" s="46" t="s">
        <v>459</v>
      </c>
      <c r="D137" s="51">
        <v>3270.1</v>
      </c>
      <c r="E137" s="52">
        <v>0.4</v>
      </c>
      <c r="F137" s="53">
        <f t="shared" si="19"/>
        <v>1308.04</v>
      </c>
      <c r="G137" s="53">
        <f t="shared" si="20"/>
        <v>1962.06</v>
      </c>
      <c r="H137" s="46" t="s">
        <v>460</v>
      </c>
      <c r="I137" s="53">
        <v>4632.8599999999997</v>
      </c>
      <c r="J137" s="52">
        <v>0.4</v>
      </c>
      <c r="K137" s="53">
        <f t="shared" si="21"/>
        <v>1853.144</v>
      </c>
      <c r="L137" s="53">
        <f t="shared" si="22"/>
        <v>2779.7159999999994</v>
      </c>
      <c r="M137" s="75"/>
      <c r="N137" s="93" t="s">
        <v>441</v>
      </c>
      <c r="O137" s="240" t="s">
        <v>461</v>
      </c>
      <c r="P137" s="241"/>
      <c r="Q137" s="242">
        <v>875.57</v>
      </c>
      <c r="R137" s="242"/>
      <c r="S137" s="94">
        <v>0.4</v>
      </c>
      <c r="T137" s="95">
        <f t="shared" si="23"/>
        <v>350.22800000000007</v>
      </c>
      <c r="U137" s="95">
        <f t="shared" si="24"/>
        <v>525.34199999999998</v>
      </c>
      <c r="V137" s="96" t="s">
        <v>462</v>
      </c>
      <c r="W137" s="242">
        <v>1175.8800000000001</v>
      </c>
      <c r="X137" s="242"/>
      <c r="Y137" s="97">
        <v>0.4</v>
      </c>
      <c r="Z137" s="98">
        <f t="shared" si="25"/>
        <v>470.35200000000009</v>
      </c>
      <c r="AA137" s="99">
        <f t="shared" si="26"/>
        <v>705.52800000000002</v>
      </c>
    </row>
    <row r="138" spans="1:27" ht="22.5" customHeight="1">
      <c r="A138" s="217"/>
      <c r="B138" s="217"/>
      <c r="C138" s="75"/>
      <c r="D138" s="76"/>
      <c r="E138" s="77"/>
      <c r="F138" s="78"/>
      <c r="G138" s="78"/>
      <c r="H138" s="75"/>
      <c r="I138" s="75"/>
      <c r="J138" s="77"/>
      <c r="K138" s="78"/>
      <c r="L138" s="78"/>
      <c r="M138" s="75"/>
      <c r="N138" s="243"/>
      <c r="O138" s="237"/>
      <c r="P138" s="237"/>
      <c r="Q138" s="237"/>
      <c r="R138" s="237"/>
      <c r="S138" s="100"/>
      <c r="T138" s="101"/>
      <c r="U138" s="101"/>
      <c r="V138" s="244"/>
      <c r="W138" s="244"/>
      <c r="X138" s="75"/>
    </row>
    <row r="139" spans="1:27" ht="22.5" customHeight="1">
      <c r="A139" s="217"/>
      <c r="B139" s="217"/>
      <c r="C139" s="75"/>
      <c r="D139" s="76"/>
      <c r="E139" s="77"/>
      <c r="F139" s="78"/>
      <c r="G139" s="78"/>
      <c r="H139" s="75"/>
      <c r="I139" s="75"/>
      <c r="J139" s="77"/>
      <c r="K139" s="78"/>
      <c r="L139" s="78"/>
      <c r="M139" s="75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75"/>
    </row>
    <row r="140" spans="1:27" ht="19.5" customHeight="1">
      <c r="A140" s="217"/>
      <c r="B140" s="217"/>
      <c r="C140" s="75"/>
      <c r="D140" s="76"/>
      <c r="E140" s="77"/>
      <c r="F140" s="78"/>
      <c r="G140" s="78"/>
      <c r="H140" s="75"/>
      <c r="I140" s="75"/>
      <c r="J140" s="77"/>
      <c r="K140" s="78"/>
      <c r="L140" s="78"/>
      <c r="M140" s="75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75"/>
    </row>
    <row r="141" spans="1:27" ht="19.5" customHeight="1">
      <c r="A141" s="217"/>
      <c r="B141" s="217"/>
      <c r="C141" s="75"/>
      <c r="D141" s="76"/>
      <c r="E141" s="77"/>
      <c r="F141" s="78"/>
      <c r="G141" s="78"/>
      <c r="H141" s="75"/>
      <c r="I141" s="75"/>
      <c r="J141" s="77"/>
      <c r="K141" s="78"/>
      <c r="L141" s="78"/>
      <c r="M141" s="75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75"/>
    </row>
    <row r="142" spans="1:27" ht="14.45" customHeight="1" thickBot="1">
      <c r="A142" s="245"/>
      <c r="B142" s="245"/>
      <c r="C142" s="89"/>
      <c r="D142" s="102"/>
      <c r="E142" s="103"/>
      <c r="F142" s="104"/>
      <c r="G142" s="104"/>
      <c r="H142" s="89"/>
      <c r="I142" s="89"/>
      <c r="J142" s="103"/>
      <c r="K142" s="104"/>
      <c r="L142" s="104"/>
      <c r="M142" s="89"/>
      <c r="N142" s="89"/>
      <c r="O142" s="245"/>
      <c r="P142" s="245"/>
      <c r="Q142" s="245"/>
      <c r="R142" s="245"/>
      <c r="S142" s="105"/>
      <c r="T142" s="89"/>
      <c r="U142" s="89"/>
      <c r="V142" s="89"/>
      <c r="W142" s="89"/>
      <c r="X142" s="89"/>
    </row>
    <row r="143" spans="1:27" ht="39" customHeight="1" thickBot="1">
      <c r="A143" s="218" t="s">
        <v>463</v>
      </c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46"/>
      <c r="M143" s="82"/>
      <c r="N143" s="247" t="s">
        <v>464</v>
      </c>
      <c r="O143" s="248"/>
      <c r="P143" s="248"/>
      <c r="Q143" s="248"/>
      <c r="R143" s="248"/>
      <c r="S143" s="248"/>
      <c r="T143" s="248"/>
      <c r="U143" s="248"/>
      <c r="V143" s="248"/>
      <c r="W143" s="248"/>
      <c r="X143" s="249"/>
      <c r="Y143" s="106"/>
      <c r="Z143" s="107"/>
      <c r="AA143" s="108"/>
    </row>
    <row r="144" spans="1:27" ht="15.75" customHeight="1">
      <c r="A144" s="228" t="s">
        <v>49</v>
      </c>
      <c r="B144" s="185"/>
      <c r="C144" s="206" t="s">
        <v>50</v>
      </c>
      <c r="D144" s="207"/>
      <c r="E144" s="207"/>
      <c r="F144" s="207"/>
      <c r="G144" s="208"/>
      <c r="H144" s="206" t="s">
        <v>51</v>
      </c>
      <c r="I144" s="207"/>
      <c r="J144" s="207"/>
      <c r="K144" s="207"/>
      <c r="L144" s="207"/>
      <c r="M144" s="89"/>
      <c r="N144" s="250" t="s">
        <v>49</v>
      </c>
      <c r="O144" s="233" t="s">
        <v>50</v>
      </c>
      <c r="P144" s="233"/>
      <c r="Q144" s="233"/>
      <c r="R144" s="233"/>
      <c r="S144" s="233"/>
      <c r="T144" s="233"/>
      <c r="U144" s="233"/>
      <c r="V144" s="233" t="s">
        <v>51</v>
      </c>
      <c r="W144" s="233"/>
      <c r="X144" s="233"/>
      <c r="Y144" s="233"/>
      <c r="Z144" s="233"/>
      <c r="AA144" s="234"/>
    </row>
    <row r="145" spans="1:27">
      <c r="A145" s="229"/>
      <c r="B145" s="187"/>
      <c r="C145" s="46" t="s">
        <v>52</v>
      </c>
      <c r="D145" s="47" t="s">
        <v>53</v>
      </c>
      <c r="E145" s="48"/>
      <c r="F145" s="49"/>
      <c r="G145" s="49" t="s">
        <v>218</v>
      </c>
      <c r="H145" s="46" t="s">
        <v>52</v>
      </c>
      <c r="I145" s="46" t="s">
        <v>53</v>
      </c>
      <c r="J145" s="48"/>
      <c r="K145" s="49"/>
      <c r="L145" s="49" t="s">
        <v>218</v>
      </c>
      <c r="M145" s="89"/>
      <c r="N145" s="251"/>
      <c r="O145" s="226" t="s">
        <v>52</v>
      </c>
      <c r="P145" s="226"/>
      <c r="Q145" s="226" t="s">
        <v>53</v>
      </c>
      <c r="R145" s="226"/>
      <c r="S145" s="109"/>
      <c r="T145" s="85"/>
      <c r="U145" s="85" t="s">
        <v>218</v>
      </c>
      <c r="V145" s="85" t="s">
        <v>52</v>
      </c>
      <c r="W145" s="235" t="s">
        <v>53</v>
      </c>
      <c r="X145" s="235"/>
      <c r="Y145" s="110"/>
      <c r="Z145" s="87"/>
      <c r="AA145" s="88" t="s">
        <v>218</v>
      </c>
    </row>
    <row r="146" spans="1:27" ht="12.95" customHeight="1">
      <c r="A146" s="199" t="s">
        <v>465</v>
      </c>
      <c r="B146" s="193"/>
      <c r="C146" s="46" t="s">
        <v>466</v>
      </c>
      <c r="D146" s="51">
        <v>3270.1</v>
      </c>
      <c r="E146" s="52">
        <v>0.4</v>
      </c>
      <c r="F146" s="53">
        <f t="shared" ref="F146:F167" si="27">(D146*E146)</f>
        <v>1308.04</v>
      </c>
      <c r="G146" s="53">
        <f t="shared" ref="G146:G167" si="28">D146-F146</f>
        <v>1962.06</v>
      </c>
      <c r="H146" s="46" t="s">
        <v>467</v>
      </c>
      <c r="I146" s="53">
        <v>4632.8599999999997</v>
      </c>
      <c r="J146" s="52">
        <v>0.4</v>
      </c>
      <c r="K146" s="53">
        <f t="shared" ref="K146:K167" si="29">(I146*J146)</f>
        <v>1853.144</v>
      </c>
      <c r="L146" s="53">
        <f t="shared" ref="L146:L167" si="30">I146-K146</f>
        <v>2779.7159999999994</v>
      </c>
      <c r="M146" s="89"/>
      <c r="N146" s="111" t="s">
        <v>446</v>
      </c>
      <c r="O146" s="226" t="s">
        <v>468</v>
      </c>
      <c r="P146" s="226"/>
      <c r="Q146" s="252">
        <v>919.35</v>
      </c>
      <c r="R146" s="252"/>
      <c r="S146" s="112">
        <v>0.4</v>
      </c>
      <c r="T146" s="113">
        <f>(Q146*S146)</f>
        <v>367.74</v>
      </c>
      <c r="U146" s="113">
        <f>Q146-T146</f>
        <v>551.61</v>
      </c>
      <c r="V146" s="85" t="s">
        <v>469</v>
      </c>
      <c r="W146" s="236">
        <v>1234.57</v>
      </c>
      <c r="X146" s="236"/>
      <c r="Y146" s="83">
        <v>0.4</v>
      </c>
      <c r="Z146" s="87">
        <f>(W146*Y146)</f>
        <v>493.82799999999997</v>
      </c>
      <c r="AA146" s="88">
        <f>W146-Z146</f>
        <v>740.74199999999996</v>
      </c>
    </row>
    <row r="147" spans="1:27" ht="12" customHeight="1">
      <c r="A147" s="199" t="s">
        <v>470</v>
      </c>
      <c r="B147" s="193"/>
      <c r="C147" s="46" t="s">
        <v>471</v>
      </c>
      <c r="D147" s="51">
        <v>3270.1</v>
      </c>
      <c r="E147" s="52">
        <v>0.4</v>
      </c>
      <c r="F147" s="53">
        <f t="shared" si="27"/>
        <v>1308.04</v>
      </c>
      <c r="G147" s="53">
        <f t="shared" si="28"/>
        <v>1962.06</v>
      </c>
      <c r="H147" s="46" t="s">
        <v>472</v>
      </c>
      <c r="I147" s="53">
        <v>4632.8599999999997</v>
      </c>
      <c r="J147" s="52">
        <v>0.4</v>
      </c>
      <c r="K147" s="53">
        <f t="shared" si="29"/>
        <v>1853.144</v>
      </c>
      <c r="L147" s="53">
        <f t="shared" si="30"/>
        <v>2779.7159999999994</v>
      </c>
      <c r="M147" s="89"/>
      <c r="N147" s="111" t="s">
        <v>473</v>
      </c>
      <c r="O147" s="226" t="s">
        <v>474</v>
      </c>
      <c r="P147" s="226"/>
      <c r="Q147" s="252">
        <v>1055.6500000000001</v>
      </c>
      <c r="R147" s="252"/>
      <c r="S147" s="112">
        <v>0.4</v>
      </c>
      <c r="T147" s="113">
        <f t="shared" ref="T147:T173" si="31">(Q147*S147)</f>
        <v>422.26000000000005</v>
      </c>
      <c r="U147" s="113">
        <f t="shared" ref="U147:U173" si="32">Q147-T147</f>
        <v>633.3900000000001</v>
      </c>
      <c r="V147" s="85" t="s">
        <v>475</v>
      </c>
      <c r="W147" s="236">
        <v>1505.44</v>
      </c>
      <c r="X147" s="236"/>
      <c r="Y147" s="83">
        <v>0.4</v>
      </c>
      <c r="Z147" s="87">
        <f t="shared" ref="Z147:Z162" si="33">(W147*Y147)</f>
        <v>602.17600000000004</v>
      </c>
      <c r="AA147" s="88">
        <f t="shared" ref="AA147:AA162" si="34">W147-Z147</f>
        <v>903.26400000000001</v>
      </c>
    </row>
    <row r="148" spans="1:27" ht="12.95" customHeight="1">
      <c r="A148" s="199" t="s">
        <v>476</v>
      </c>
      <c r="B148" s="193"/>
      <c r="C148" s="46" t="s">
        <v>477</v>
      </c>
      <c r="D148" s="51">
        <v>3270.1</v>
      </c>
      <c r="E148" s="52">
        <v>0.4</v>
      </c>
      <c r="F148" s="53">
        <f t="shared" si="27"/>
        <v>1308.04</v>
      </c>
      <c r="G148" s="53">
        <f t="shared" si="28"/>
        <v>1962.06</v>
      </c>
      <c r="H148" s="46" t="s">
        <v>478</v>
      </c>
      <c r="I148" s="53">
        <v>4632.8599999999997</v>
      </c>
      <c r="J148" s="52">
        <v>0.4</v>
      </c>
      <c r="K148" s="53">
        <f t="shared" si="29"/>
        <v>1853.144</v>
      </c>
      <c r="L148" s="53">
        <f t="shared" si="30"/>
        <v>2779.7159999999994</v>
      </c>
      <c r="M148" s="89"/>
      <c r="N148" s="111" t="s">
        <v>452</v>
      </c>
      <c r="O148" s="226" t="s">
        <v>479</v>
      </c>
      <c r="P148" s="226"/>
      <c r="Q148" s="252">
        <v>1055.6500000000001</v>
      </c>
      <c r="R148" s="252"/>
      <c r="S148" s="112">
        <v>0.4</v>
      </c>
      <c r="T148" s="113">
        <f t="shared" si="31"/>
        <v>422.26000000000005</v>
      </c>
      <c r="U148" s="113">
        <f t="shared" si="32"/>
        <v>633.3900000000001</v>
      </c>
      <c r="V148" s="85" t="s">
        <v>480</v>
      </c>
      <c r="W148" s="236">
        <v>1505.44</v>
      </c>
      <c r="X148" s="236"/>
      <c r="Y148" s="83">
        <v>0.4</v>
      </c>
      <c r="Z148" s="87">
        <f t="shared" si="33"/>
        <v>602.17600000000004</v>
      </c>
      <c r="AA148" s="88">
        <f t="shared" si="34"/>
        <v>903.26400000000001</v>
      </c>
    </row>
    <row r="149" spans="1:27" ht="12" customHeight="1">
      <c r="A149" s="199" t="s">
        <v>481</v>
      </c>
      <c r="B149" s="193"/>
      <c r="C149" s="46" t="s">
        <v>482</v>
      </c>
      <c r="D149" s="51">
        <v>3270.1</v>
      </c>
      <c r="E149" s="52">
        <v>0.4</v>
      </c>
      <c r="F149" s="53">
        <f t="shared" si="27"/>
        <v>1308.04</v>
      </c>
      <c r="G149" s="53">
        <f t="shared" si="28"/>
        <v>1962.06</v>
      </c>
      <c r="H149" s="46" t="s">
        <v>483</v>
      </c>
      <c r="I149" s="53">
        <v>4632.8599999999997</v>
      </c>
      <c r="J149" s="52">
        <v>0.4</v>
      </c>
      <c r="K149" s="53">
        <f t="shared" si="29"/>
        <v>1853.144</v>
      </c>
      <c r="L149" s="53">
        <f t="shared" si="30"/>
        <v>2779.7159999999994</v>
      </c>
      <c r="M149" s="89"/>
      <c r="N149" s="111" t="s">
        <v>458</v>
      </c>
      <c r="O149" s="226" t="s">
        <v>484</v>
      </c>
      <c r="P149" s="226"/>
      <c r="Q149" s="252">
        <v>1055.6500000000001</v>
      </c>
      <c r="R149" s="252"/>
      <c r="S149" s="112">
        <v>0.4</v>
      </c>
      <c r="T149" s="113">
        <f t="shared" si="31"/>
        <v>422.26000000000005</v>
      </c>
      <c r="U149" s="113">
        <f t="shared" si="32"/>
        <v>633.3900000000001</v>
      </c>
      <c r="V149" s="85" t="s">
        <v>485</v>
      </c>
      <c r="W149" s="236">
        <v>1505.44</v>
      </c>
      <c r="X149" s="236"/>
      <c r="Y149" s="83">
        <v>0.4</v>
      </c>
      <c r="Z149" s="87">
        <f t="shared" si="33"/>
        <v>602.17600000000004</v>
      </c>
      <c r="AA149" s="88">
        <f t="shared" si="34"/>
        <v>903.26400000000001</v>
      </c>
    </row>
    <row r="150" spans="1:27" ht="12.95" customHeight="1">
      <c r="A150" s="199" t="s">
        <v>486</v>
      </c>
      <c r="B150" s="193"/>
      <c r="C150" s="46" t="s">
        <v>487</v>
      </c>
      <c r="D150" s="51">
        <v>3638.44</v>
      </c>
      <c r="E150" s="52">
        <v>0.4</v>
      </c>
      <c r="F150" s="53">
        <f t="shared" si="27"/>
        <v>1455.3760000000002</v>
      </c>
      <c r="G150" s="53">
        <f t="shared" si="28"/>
        <v>2183.0639999999999</v>
      </c>
      <c r="H150" s="46" t="s">
        <v>488</v>
      </c>
      <c r="I150" s="53">
        <v>5154.6899999999996</v>
      </c>
      <c r="J150" s="52">
        <v>0.4</v>
      </c>
      <c r="K150" s="53">
        <f t="shared" si="29"/>
        <v>2061.8759999999997</v>
      </c>
      <c r="L150" s="53">
        <f t="shared" si="30"/>
        <v>3092.8139999999999</v>
      </c>
      <c r="M150" s="89"/>
      <c r="N150" s="111" t="s">
        <v>465</v>
      </c>
      <c r="O150" s="226" t="s">
        <v>489</v>
      </c>
      <c r="P150" s="226"/>
      <c r="Q150" s="252">
        <v>1055.6500000000001</v>
      </c>
      <c r="R150" s="252"/>
      <c r="S150" s="112">
        <v>0.4</v>
      </c>
      <c r="T150" s="113">
        <f t="shared" si="31"/>
        <v>422.26000000000005</v>
      </c>
      <c r="U150" s="113">
        <f t="shared" si="32"/>
        <v>633.3900000000001</v>
      </c>
      <c r="V150" s="85" t="s">
        <v>490</v>
      </c>
      <c r="W150" s="236">
        <v>1505.44</v>
      </c>
      <c r="X150" s="236"/>
      <c r="Y150" s="83">
        <v>0.4</v>
      </c>
      <c r="Z150" s="87">
        <f t="shared" si="33"/>
        <v>602.17600000000004</v>
      </c>
      <c r="AA150" s="88">
        <f t="shared" si="34"/>
        <v>903.26400000000001</v>
      </c>
    </row>
    <row r="151" spans="1:27" ht="12" customHeight="1">
      <c r="A151" s="199" t="s">
        <v>491</v>
      </c>
      <c r="B151" s="193"/>
      <c r="C151" s="46" t="s">
        <v>492</v>
      </c>
      <c r="D151" s="51">
        <v>5590.12</v>
      </c>
      <c r="E151" s="52">
        <v>0.4</v>
      </c>
      <c r="F151" s="53">
        <f t="shared" si="27"/>
        <v>2236.0480000000002</v>
      </c>
      <c r="G151" s="53">
        <f t="shared" si="28"/>
        <v>3354.0719999999997</v>
      </c>
      <c r="H151" s="46" t="s">
        <v>493</v>
      </c>
      <c r="I151" s="53">
        <v>8077.86</v>
      </c>
      <c r="J151" s="52">
        <v>0.4</v>
      </c>
      <c r="K151" s="53">
        <f t="shared" si="29"/>
        <v>3231.1440000000002</v>
      </c>
      <c r="L151" s="53">
        <f t="shared" si="30"/>
        <v>4846.7159999999994</v>
      </c>
      <c r="M151" s="89"/>
      <c r="N151" s="111" t="s">
        <v>470</v>
      </c>
      <c r="O151" s="226" t="s">
        <v>494</v>
      </c>
      <c r="P151" s="226"/>
      <c r="Q151" s="252">
        <v>1126.51</v>
      </c>
      <c r="R151" s="252"/>
      <c r="S151" s="112">
        <v>0.4</v>
      </c>
      <c r="T151" s="113">
        <f t="shared" si="31"/>
        <v>450.60400000000004</v>
      </c>
      <c r="U151" s="113">
        <f t="shared" si="32"/>
        <v>675.90599999999995</v>
      </c>
      <c r="V151" s="85" t="s">
        <v>495</v>
      </c>
      <c r="W151" s="236">
        <v>1505.44</v>
      </c>
      <c r="X151" s="236"/>
      <c r="Y151" s="83">
        <v>0.4</v>
      </c>
      <c r="Z151" s="87">
        <f t="shared" si="33"/>
        <v>602.17600000000004</v>
      </c>
      <c r="AA151" s="88">
        <f t="shared" si="34"/>
        <v>903.26400000000001</v>
      </c>
    </row>
    <row r="152" spans="1:27" ht="12.95" customHeight="1">
      <c r="A152" s="199" t="s">
        <v>496</v>
      </c>
      <c r="B152" s="193"/>
      <c r="C152" s="46" t="s">
        <v>497</v>
      </c>
      <c r="D152" s="51">
        <v>6219.77</v>
      </c>
      <c r="E152" s="52">
        <v>0.4</v>
      </c>
      <c r="F152" s="53">
        <f t="shared" si="27"/>
        <v>2487.9080000000004</v>
      </c>
      <c r="G152" s="53">
        <f t="shared" si="28"/>
        <v>3731.8620000000001</v>
      </c>
      <c r="H152" s="46" t="s">
        <v>498</v>
      </c>
      <c r="I152" s="53">
        <v>8987.73</v>
      </c>
      <c r="J152" s="52">
        <v>0.4</v>
      </c>
      <c r="K152" s="53">
        <f t="shared" si="29"/>
        <v>3595.0920000000001</v>
      </c>
      <c r="L152" s="53">
        <f t="shared" si="30"/>
        <v>5392.637999999999</v>
      </c>
      <c r="M152" s="89"/>
      <c r="N152" s="111" t="s">
        <v>476</v>
      </c>
      <c r="O152" s="226" t="s">
        <v>499</v>
      </c>
      <c r="P152" s="226"/>
      <c r="Q152" s="252">
        <v>1170.56</v>
      </c>
      <c r="R152" s="252"/>
      <c r="S152" s="112">
        <v>0.4</v>
      </c>
      <c r="T152" s="113">
        <f t="shared" si="31"/>
        <v>468.22399999999999</v>
      </c>
      <c r="U152" s="113">
        <f t="shared" si="32"/>
        <v>702.33600000000001</v>
      </c>
      <c r="V152" s="85" t="s">
        <v>500</v>
      </c>
      <c r="W152" s="236">
        <v>1505.61</v>
      </c>
      <c r="X152" s="236"/>
      <c r="Y152" s="83">
        <v>0.4</v>
      </c>
      <c r="Z152" s="87">
        <f t="shared" si="33"/>
        <v>602.24400000000003</v>
      </c>
      <c r="AA152" s="88">
        <f t="shared" si="34"/>
        <v>903.36599999999987</v>
      </c>
    </row>
    <row r="153" spans="1:27" ht="12" customHeight="1">
      <c r="A153" s="199" t="s">
        <v>501</v>
      </c>
      <c r="B153" s="193"/>
      <c r="C153" s="46" t="s">
        <v>502</v>
      </c>
      <c r="D153" s="51">
        <v>7314.2</v>
      </c>
      <c r="E153" s="52">
        <v>0.4</v>
      </c>
      <c r="F153" s="53">
        <f t="shared" si="27"/>
        <v>2925.6800000000003</v>
      </c>
      <c r="G153" s="53">
        <f t="shared" si="28"/>
        <v>4388.5199999999995</v>
      </c>
      <c r="H153" s="46" t="s">
        <v>503</v>
      </c>
      <c r="I153" s="53">
        <v>8542.19</v>
      </c>
      <c r="J153" s="52">
        <v>0.4</v>
      </c>
      <c r="K153" s="53">
        <f t="shared" si="29"/>
        <v>3416.8760000000002</v>
      </c>
      <c r="L153" s="53">
        <f t="shared" si="30"/>
        <v>5125.3140000000003</v>
      </c>
      <c r="M153" s="89"/>
      <c r="N153" s="111" t="s">
        <v>481</v>
      </c>
      <c r="O153" s="226" t="s">
        <v>504</v>
      </c>
      <c r="P153" s="226"/>
      <c r="Q153" s="252">
        <v>1174.55</v>
      </c>
      <c r="R153" s="252"/>
      <c r="S153" s="112">
        <v>0.4</v>
      </c>
      <c r="T153" s="113">
        <f t="shared" si="31"/>
        <v>469.82</v>
      </c>
      <c r="U153" s="113">
        <f t="shared" si="32"/>
        <v>704.73</v>
      </c>
      <c r="V153" s="85" t="s">
        <v>505</v>
      </c>
      <c r="W153" s="236">
        <v>1509.52</v>
      </c>
      <c r="X153" s="236"/>
      <c r="Y153" s="83">
        <v>0.4</v>
      </c>
      <c r="Z153" s="87">
        <f t="shared" si="33"/>
        <v>603.80799999999999</v>
      </c>
      <c r="AA153" s="88">
        <f t="shared" si="34"/>
        <v>905.71199999999999</v>
      </c>
    </row>
    <row r="154" spans="1:27" ht="12.95" customHeight="1">
      <c r="A154" s="199" t="s">
        <v>506</v>
      </c>
      <c r="B154" s="193"/>
      <c r="C154" s="46" t="s">
        <v>507</v>
      </c>
      <c r="D154" s="51">
        <v>7314.2</v>
      </c>
      <c r="E154" s="52">
        <v>0.4</v>
      </c>
      <c r="F154" s="53">
        <f t="shared" si="27"/>
        <v>2925.6800000000003</v>
      </c>
      <c r="G154" s="53">
        <f t="shared" si="28"/>
        <v>4388.5199999999995</v>
      </c>
      <c r="H154" s="46" t="s">
        <v>508</v>
      </c>
      <c r="I154" s="53">
        <v>8542.19</v>
      </c>
      <c r="J154" s="52">
        <v>0.4</v>
      </c>
      <c r="K154" s="53">
        <f t="shared" si="29"/>
        <v>3416.8760000000002</v>
      </c>
      <c r="L154" s="53">
        <f t="shared" si="30"/>
        <v>5125.3140000000003</v>
      </c>
      <c r="M154" s="89"/>
      <c r="N154" s="111" t="s">
        <v>486</v>
      </c>
      <c r="O154" s="226" t="s">
        <v>509</v>
      </c>
      <c r="P154" s="226"/>
      <c r="Q154" s="252">
        <v>1303.75</v>
      </c>
      <c r="R154" s="252"/>
      <c r="S154" s="112">
        <v>0.4</v>
      </c>
      <c r="T154" s="113">
        <f t="shared" si="31"/>
        <v>521.5</v>
      </c>
      <c r="U154" s="113">
        <f t="shared" si="32"/>
        <v>782.25</v>
      </c>
      <c r="V154" s="85" t="s">
        <v>510</v>
      </c>
      <c r="W154" s="236">
        <v>1675.01</v>
      </c>
      <c r="X154" s="236"/>
      <c r="Y154" s="83">
        <v>0.4</v>
      </c>
      <c r="Z154" s="87">
        <f t="shared" si="33"/>
        <v>670.00400000000002</v>
      </c>
      <c r="AA154" s="88">
        <f t="shared" si="34"/>
        <v>1005.006</v>
      </c>
    </row>
    <row r="155" spans="1:27" ht="12" customHeight="1">
      <c r="A155" s="199" t="s">
        <v>511</v>
      </c>
      <c r="B155" s="193"/>
      <c r="C155" s="46" t="s">
        <v>512</v>
      </c>
      <c r="D155" s="51">
        <v>7314.2</v>
      </c>
      <c r="E155" s="52">
        <v>0.4</v>
      </c>
      <c r="F155" s="53">
        <f t="shared" si="27"/>
        <v>2925.6800000000003</v>
      </c>
      <c r="G155" s="53">
        <f t="shared" si="28"/>
        <v>4388.5199999999995</v>
      </c>
      <c r="H155" s="46" t="s">
        <v>513</v>
      </c>
      <c r="I155" s="53">
        <v>9076.07</v>
      </c>
      <c r="J155" s="52">
        <v>0.4</v>
      </c>
      <c r="K155" s="53">
        <f t="shared" si="29"/>
        <v>3630.4279999999999</v>
      </c>
      <c r="L155" s="53">
        <f t="shared" si="30"/>
        <v>5445.6419999999998</v>
      </c>
      <c r="M155" s="89"/>
      <c r="N155" s="111" t="s">
        <v>514</v>
      </c>
      <c r="O155" s="226" t="s">
        <v>515</v>
      </c>
      <c r="P155" s="226"/>
      <c r="Q155" s="252">
        <v>1909.81</v>
      </c>
      <c r="R155" s="252"/>
      <c r="S155" s="112">
        <v>0.4</v>
      </c>
      <c r="T155" s="113">
        <f t="shared" si="31"/>
        <v>763.92399999999998</v>
      </c>
      <c r="U155" s="113">
        <f t="shared" si="32"/>
        <v>1145.886</v>
      </c>
      <c r="V155" s="85" t="s">
        <v>516</v>
      </c>
      <c r="W155" s="236">
        <v>2257.4299999999998</v>
      </c>
      <c r="X155" s="236"/>
      <c r="Y155" s="83">
        <v>0.4</v>
      </c>
      <c r="Z155" s="87">
        <f t="shared" si="33"/>
        <v>902.97199999999998</v>
      </c>
      <c r="AA155" s="88">
        <f t="shared" si="34"/>
        <v>1354.4579999999999</v>
      </c>
    </row>
    <row r="156" spans="1:27" ht="12" customHeight="1">
      <c r="A156" s="199" t="s">
        <v>517</v>
      </c>
      <c r="B156" s="193"/>
      <c r="C156" s="46" t="s">
        <v>518</v>
      </c>
      <c r="D156" s="51">
        <v>7714.66</v>
      </c>
      <c r="E156" s="52">
        <v>0.4</v>
      </c>
      <c r="F156" s="53">
        <f t="shared" si="27"/>
        <v>3085.864</v>
      </c>
      <c r="G156" s="53">
        <f t="shared" si="28"/>
        <v>4628.7960000000003</v>
      </c>
      <c r="H156" s="46" t="s">
        <v>519</v>
      </c>
      <c r="I156" s="53">
        <v>9443.98</v>
      </c>
      <c r="J156" s="52">
        <v>0.4</v>
      </c>
      <c r="K156" s="53">
        <f t="shared" si="29"/>
        <v>3777.5920000000001</v>
      </c>
      <c r="L156" s="53">
        <f t="shared" si="30"/>
        <v>5666.387999999999</v>
      </c>
      <c r="M156" s="89"/>
      <c r="N156" s="111" t="s">
        <v>491</v>
      </c>
      <c r="O156" s="226" t="s">
        <v>520</v>
      </c>
      <c r="P156" s="226"/>
      <c r="Q156" s="252">
        <v>1909.81</v>
      </c>
      <c r="R156" s="252"/>
      <c r="S156" s="112">
        <v>0.4</v>
      </c>
      <c r="T156" s="113">
        <f t="shared" si="31"/>
        <v>763.92399999999998</v>
      </c>
      <c r="U156" s="113">
        <f t="shared" si="32"/>
        <v>1145.886</v>
      </c>
      <c r="V156" s="85" t="s">
        <v>521</v>
      </c>
      <c r="W156" s="236">
        <v>2257.4299999999998</v>
      </c>
      <c r="X156" s="236"/>
      <c r="Y156" s="83">
        <v>0.4</v>
      </c>
      <c r="Z156" s="87">
        <f t="shared" si="33"/>
        <v>902.97199999999998</v>
      </c>
      <c r="AA156" s="88">
        <f t="shared" si="34"/>
        <v>1354.4579999999999</v>
      </c>
    </row>
    <row r="157" spans="1:27" ht="12.95" customHeight="1">
      <c r="A157" s="199" t="s">
        <v>522</v>
      </c>
      <c r="B157" s="193"/>
      <c r="C157" s="46" t="s">
        <v>523</v>
      </c>
      <c r="D157" s="51">
        <v>12214.08</v>
      </c>
      <c r="E157" s="52">
        <v>0.4</v>
      </c>
      <c r="F157" s="53">
        <f t="shared" si="27"/>
        <v>4885.6320000000005</v>
      </c>
      <c r="G157" s="53">
        <f t="shared" si="28"/>
        <v>7328.4479999999994</v>
      </c>
      <c r="H157" s="46" t="s">
        <v>524</v>
      </c>
      <c r="I157" s="53">
        <v>15249.6</v>
      </c>
      <c r="J157" s="52">
        <v>0.4</v>
      </c>
      <c r="K157" s="53">
        <f t="shared" si="29"/>
        <v>6099.84</v>
      </c>
      <c r="L157" s="53">
        <f t="shared" si="30"/>
        <v>9149.76</v>
      </c>
      <c r="M157" s="89"/>
      <c r="N157" s="111" t="s">
        <v>525</v>
      </c>
      <c r="O157" s="226" t="s">
        <v>526</v>
      </c>
      <c r="P157" s="226"/>
      <c r="Q157" s="252">
        <v>1984.71</v>
      </c>
      <c r="R157" s="252"/>
      <c r="S157" s="112">
        <v>0.4</v>
      </c>
      <c r="T157" s="113">
        <f t="shared" si="31"/>
        <v>793.88400000000001</v>
      </c>
      <c r="U157" s="113">
        <f t="shared" si="32"/>
        <v>1190.826</v>
      </c>
      <c r="V157" s="85" t="s">
        <v>527</v>
      </c>
      <c r="W157" s="236">
        <v>2257.4299999999998</v>
      </c>
      <c r="X157" s="236"/>
      <c r="Y157" s="83">
        <v>0.4</v>
      </c>
      <c r="Z157" s="87">
        <f t="shared" si="33"/>
        <v>902.97199999999998</v>
      </c>
      <c r="AA157" s="88">
        <f t="shared" si="34"/>
        <v>1354.4579999999999</v>
      </c>
    </row>
    <row r="158" spans="1:27" ht="12" customHeight="1">
      <c r="A158" s="199" t="s">
        <v>528</v>
      </c>
      <c r="B158" s="193"/>
      <c r="C158" s="46" t="s">
        <v>529</v>
      </c>
      <c r="D158" s="51">
        <v>13589.84</v>
      </c>
      <c r="E158" s="52">
        <v>0.4</v>
      </c>
      <c r="F158" s="53">
        <f t="shared" si="27"/>
        <v>5435.9360000000006</v>
      </c>
      <c r="G158" s="53">
        <f t="shared" si="28"/>
        <v>8153.9039999999995</v>
      </c>
      <c r="H158" s="46" t="s">
        <v>530</v>
      </c>
      <c r="I158" s="53">
        <v>16164.53</v>
      </c>
      <c r="J158" s="52">
        <v>0.4</v>
      </c>
      <c r="K158" s="53">
        <f t="shared" si="29"/>
        <v>6465.8120000000008</v>
      </c>
      <c r="L158" s="53">
        <f t="shared" si="30"/>
        <v>9698.7180000000008</v>
      </c>
      <c r="M158" s="89"/>
      <c r="N158" s="111" t="s">
        <v>496</v>
      </c>
      <c r="O158" s="226" t="s">
        <v>531</v>
      </c>
      <c r="P158" s="226"/>
      <c r="Q158" s="252">
        <v>2124.9299999999998</v>
      </c>
      <c r="R158" s="252"/>
      <c r="S158" s="112">
        <v>0.4</v>
      </c>
      <c r="T158" s="113">
        <f t="shared" si="31"/>
        <v>849.97199999999998</v>
      </c>
      <c r="U158" s="113">
        <f t="shared" si="32"/>
        <v>1274.9579999999999</v>
      </c>
      <c r="V158" s="85" t="s">
        <v>532</v>
      </c>
      <c r="W158" s="236">
        <v>2511.6999999999998</v>
      </c>
      <c r="X158" s="236"/>
      <c r="Y158" s="83">
        <v>0.4</v>
      </c>
      <c r="Z158" s="87">
        <f t="shared" si="33"/>
        <v>1004.68</v>
      </c>
      <c r="AA158" s="88">
        <f t="shared" si="34"/>
        <v>1507.02</v>
      </c>
    </row>
    <row r="159" spans="1:27" ht="12.95" customHeight="1">
      <c r="A159" s="199" t="s">
        <v>533</v>
      </c>
      <c r="B159" s="193"/>
      <c r="C159" s="46" t="s">
        <v>534</v>
      </c>
      <c r="D159" s="51">
        <v>13974.52</v>
      </c>
      <c r="E159" s="52">
        <v>0.4</v>
      </c>
      <c r="F159" s="53">
        <f t="shared" si="27"/>
        <v>5589.8080000000009</v>
      </c>
      <c r="G159" s="53">
        <f t="shared" si="28"/>
        <v>8384.7119999999995</v>
      </c>
      <c r="H159" s="46" t="s">
        <v>535</v>
      </c>
      <c r="I159" s="53">
        <v>18725.88</v>
      </c>
      <c r="J159" s="52">
        <v>0.4</v>
      </c>
      <c r="K159" s="53">
        <f t="shared" si="29"/>
        <v>7490.3520000000008</v>
      </c>
      <c r="L159" s="53">
        <f t="shared" si="30"/>
        <v>11235.528</v>
      </c>
      <c r="M159" s="89"/>
      <c r="N159" s="111" t="s">
        <v>536</v>
      </c>
      <c r="O159" s="226" t="s">
        <v>537</v>
      </c>
      <c r="P159" s="226"/>
      <c r="Q159" s="252">
        <v>2148.21</v>
      </c>
      <c r="R159" s="252"/>
      <c r="S159" s="112">
        <v>0.4</v>
      </c>
      <c r="T159" s="113">
        <f t="shared" si="31"/>
        <v>859.28400000000011</v>
      </c>
      <c r="U159" s="113">
        <f t="shared" si="32"/>
        <v>1288.9259999999999</v>
      </c>
      <c r="V159" s="85" t="s">
        <v>538</v>
      </c>
      <c r="W159" s="236">
        <v>2754.27</v>
      </c>
      <c r="X159" s="236"/>
      <c r="Y159" s="83">
        <v>0.4</v>
      </c>
      <c r="Z159" s="87">
        <f t="shared" si="33"/>
        <v>1101.7080000000001</v>
      </c>
      <c r="AA159" s="88">
        <f t="shared" si="34"/>
        <v>1652.5619999999999</v>
      </c>
    </row>
    <row r="160" spans="1:27" ht="12" customHeight="1">
      <c r="A160" s="199" t="s">
        <v>539</v>
      </c>
      <c r="B160" s="193"/>
      <c r="C160" s="46" t="s">
        <v>540</v>
      </c>
      <c r="D160" s="51">
        <v>13974.52</v>
      </c>
      <c r="E160" s="52">
        <v>0.4</v>
      </c>
      <c r="F160" s="53">
        <f t="shared" si="27"/>
        <v>5589.8080000000009</v>
      </c>
      <c r="G160" s="53">
        <f t="shared" si="28"/>
        <v>8384.7119999999995</v>
      </c>
      <c r="H160" s="46" t="s">
        <v>541</v>
      </c>
      <c r="I160" s="53">
        <v>18725.88</v>
      </c>
      <c r="J160" s="52">
        <v>0.4</v>
      </c>
      <c r="K160" s="53">
        <f t="shared" si="29"/>
        <v>7490.3520000000008</v>
      </c>
      <c r="L160" s="53">
        <f t="shared" si="30"/>
        <v>11235.528</v>
      </c>
      <c r="M160" s="89"/>
      <c r="N160" s="111" t="s">
        <v>506</v>
      </c>
      <c r="O160" s="226" t="s">
        <v>542</v>
      </c>
      <c r="P160" s="226"/>
      <c r="Q160" s="252">
        <v>2210.29</v>
      </c>
      <c r="R160" s="252"/>
      <c r="S160" s="112">
        <v>0.4</v>
      </c>
      <c r="T160" s="113">
        <f t="shared" si="31"/>
        <v>884.11599999999999</v>
      </c>
      <c r="U160" s="113">
        <f t="shared" si="32"/>
        <v>1326.174</v>
      </c>
      <c r="V160" s="85" t="s">
        <v>543</v>
      </c>
      <c r="W160" s="236">
        <v>2770.93</v>
      </c>
      <c r="X160" s="236"/>
      <c r="Y160" s="83">
        <v>0.4</v>
      </c>
      <c r="Z160" s="87">
        <f t="shared" si="33"/>
        <v>1108.3720000000001</v>
      </c>
      <c r="AA160" s="88">
        <f t="shared" si="34"/>
        <v>1662.5579999999998</v>
      </c>
    </row>
    <row r="161" spans="1:27" ht="12.95" customHeight="1">
      <c r="A161" s="199" t="s">
        <v>544</v>
      </c>
      <c r="B161" s="193"/>
      <c r="C161" s="46" t="s">
        <v>545</v>
      </c>
      <c r="D161" s="51">
        <v>13974.52</v>
      </c>
      <c r="E161" s="52">
        <v>0.4</v>
      </c>
      <c r="F161" s="53">
        <f t="shared" si="27"/>
        <v>5589.8080000000009</v>
      </c>
      <c r="G161" s="53">
        <f t="shared" si="28"/>
        <v>8384.7119999999995</v>
      </c>
      <c r="H161" s="46" t="s">
        <v>546</v>
      </c>
      <c r="I161" s="53">
        <v>19365.490000000002</v>
      </c>
      <c r="J161" s="52">
        <v>0.4</v>
      </c>
      <c r="K161" s="53">
        <f t="shared" si="29"/>
        <v>7746.1960000000008</v>
      </c>
      <c r="L161" s="53">
        <f t="shared" si="30"/>
        <v>11619.294000000002</v>
      </c>
      <c r="M161" s="89"/>
      <c r="N161" s="111" t="s">
        <v>511</v>
      </c>
      <c r="O161" s="226" t="s">
        <v>547</v>
      </c>
      <c r="P161" s="226"/>
      <c r="Q161" s="252">
        <v>2274.38</v>
      </c>
      <c r="R161" s="252"/>
      <c r="S161" s="112">
        <v>0.4</v>
      </c>
      <c r="T161" s="113">
        <f t="shared" si="31"/>
        <v>909.75200000000007</v>
      </c>
      <c r="U161" s="113">
        <f t="shared" si="32"/>
        <v>1364.6280000000002</v>
      </c>
      <c r="V161" s="85" t="s">
        <v>548</v>
      </c>
      <c r="W161" s="236">
        <v>2789.55</v>
      </c>
      <c r="X161" s="236"/>
      <c r="Y161" s="83">
        <v>0.4</v>
      </c>
      <c r="Z161" s="87">
        <f t="shared" si="33"/>
        <v>1115.8200000000002</v>
      </c>
      <c r="AA161" s="88">
        <f t="shared" si="34"/>
        <v>1673.73</v>
      </c>
    </row>
    <row r="162" spans="1:27" ht="12" customHeight="1">
      <c r="A162" s="199" t="s">
        <v>549</v>
      </c>
      <c r="B162" s="193"/>
      <c r="C162" s="46" t="s">
        <v>550</v>
      </c>
      <c r="D162" s="51">
        <v>15548.58</v>
      </c>
      <c r="E162" s="52">
        <v>0.4</v>
      </c>
      <c r="F162" s="53">
        <f t="shared" si="27"/>
        <v>6219.4320000000007</v>
      </c>
      <c r="G162" s="53">
        <f t="shared" si="28"/>
        <v>9329.1479999999992</v>
      </c>
      <c r="H162" s="46" t="s">
        <v>551</v>
      </c>
      <c r="I162" s="53">
        <v>20835.11</v>
      </c>
      <c r="J162" s="52">
        <v>0.4</v>
      </c>
      <c r="K162" s="53">
        <f t="shared" si="29"/>
        <v>8334.0439999999999</v>
      </c>
      <c r="L162" s="53">
        <f t="shared" si="30"/>
        <v>12501.066000000001</v>
      </c>
      <c r="M162" s="89"/>
      <c r="N162" s="111" t="s">
        <v>517</v>
      </c>
      <c r="O162" s="226" t="s">
        <v>552</v>
      </c>
      <c r="P162" s="226"/>
      <c r="Q162" s="252">
        <v>2390.1799999999998</v>
      </c>
      <c r="R162" s="252"/>
      <c r="S162" s="112">
        <v>0.4</v>
      </c>
      <c r="T162" s="113">
        <f t="shared" si="31"/>
        <v>956.072</v>
      </c>
      <c r="U162" s="113">
        <f t="shared" si="32"/>
        <v>1434.1079999999997</v>
      </c>
      <c r="V162" s="85" t="s">
        <v>553</v>
      </c>
      <c r="W162" s="236">
        <v>3064.5</v>
      </c>
      <c r="X162" s="236"/>
      <c r="Y162" s="83">
        <v>0.4</v>
      </c>
      <c r="Z162" s="87">
        <f t="shared" si="33"/>
        <v>1225.8</v>
      </c>
      <c r="AA162" s="88">
        <f t="shared" si="34"/>
        <v>1838.7</v>
      </c>
    </row>
    <row r="163" spans="1:27" ht="12.95" customHeight="1">
      <c r="A163" s="199" t="s">
        <v>554</v>
      </c>
      <c r="B163" s="193"/>
      <c r="C163" s="46" t="s">
        <v>555</v>
      </c>
      <c r="D163" s="51">
        <v>18541.669999999998</v>
      </c>
      <c r="E163" s="52">
        <v>0.4</v>
      </c>
      <c r="F163" s="53">
        <f t="shared" si="27"/>
        <v>7416.6679999999997</v>
      </c>
      <c r="G163" s="53">
        <f t="shared" si="28"/>
        <v>11125.001999999999</v>
      </c>
      <c r="H163" s="46" t="s">
        <v>556</v>
      </c>
      <c r="I163" s="53">
        <v>20524.43</v>
      </c>
      <c r="J163" s="52">
        <v>0.4</v>
      </c>
      <c r="K163" s="53">
        <f t="shared" si="29"/>
        <v>8209.7720000000008</v>
      </c>
      <c r="L163" s="53">
        <f t="shared" si="30"/>
        <v>12314.657999999999</v>
      </c>
      <c r="M163" s="89"/>
      <c r="N163" s="111" t="s">
        <v>557</v>
      </c>
      <c r="O163" s="226" t="s">
        <v>558</v>
      </c>
      <c r="P163" s="226"/>
      <c r="Q163" s="252">
        <v>2613.9699999999998</v>
      </c>
      <c r="R163" s="252"/>
      <c r="S163" s="112">
        <v>0.4</v>
      </c>
      <c r="T163" s="113">
        <f t="shared" si="31"/>
        <v>1045.588</v>
      </c>
      <c r="U163" s="113">
        <f t="shared" si="32"/>
        <v>1568.3819999999998</v>
      </c>
      <c r="V163" s="114"/>
      <c r="W163" s="253"/>
      <c r="X163" s="253"/>
      <c r="Y163" s="110"/>
      <c r="Z163" s="87"/>
      <c r="AA163" s="88"/>
    </row>
    <row r="164" spans="1:27" ht="12" customHeight="1">
      <c r="A164" s="199" t="s">
        <v>559</v>
      </c>
      <c r="B164" s="193"/>
      <c r="C164" s="46" t="s">
        <v>560</v>
      </c>
      <c r="D164" s="51">
        <v>19365.490000000002</v>
      </c>
      <c r="E164" s="52">
        <v>0.4</v>
      </c>
      <c r="F164" s="53">
        <f t="shared" si="27"/>
        <v>7746.1960000000008</v>
      </c>
      <c r="G164" s="53">
        <f t="shared" si="28"/>
        <v>11619.294000000002</v>
      </c>
      <c r="H164" s="46" t="s">
        <v>561</v>
      </c>
      <c r="I164" s="53">
        <v>20601.86</v>
      </c>
      <c r="J164" s="52">
        <v>0.4</v>
      </c>
      <c r="K164" s="53">
        <f t="shared" si="29"/>
        <v>8240.7440000000006</v>
      </c>
      <c r="L164" s="53">
        <f t="shared" si="30"/>
        <v>12361.116</v>
      </c>
      <c r="M164" s="89"/>
      <c r="N164" s="111" t="s">
        <v>562</v>
      </c>
      <c r="O164" s="226" t="s">
        <v>563</v>
      </c>
      <c r="P164" s="226"/>
      <c r="Q164" s="252">
        <v>2613.9699999999998</v>
      </c>
      <c r="R164" s="252"/>
      <c r="S164" s="112">
        <v>0.4</v>
      </c>
      <c r="T164" s="113">
        <f t="shared" si="31"/>
        <v>1045.588</v>
      </c>
      <c r="U164" s="113">
        <f t="shared" si="32"/>
        <v>1568.3819999999998</v>
      </c>
      <c r="V164" s="114"/>
      <c r="W164" s="253"/>
      <c r="X164" s="253"/>
      <c r="Y164" s="110"/>
      <c r="Z164" s="87"/>
      <c r="AA164" s="88"/>
    </row>
    <row r="165" spans="1:27" ht="12.95" customHeight="1">
      <c r="A165" s="199" t="s">
        <v>564</v>
      </c>
      <c r="B165" s="193"/>
      <c r="C165" s="46" t="s">
        <v>565</v>
      </c>
      <c r="D165" s="51">
        <v>19365.490000000002</v>
      </c>
      <c r="E165" s="52">
        <v>0.4</v>
      </c>
      <c r="F165" s="53">
        <f t="shared" si="27"/>
        <v>7746.1960000000008</v>
      </c>
      <c r="G165" s="53">
        <f t="shared" si="28"/>
        <v>11619.294000000002</v>
      </c>
      <c r="H165" s="46" t="s">
        <v>566</v>
      </c>
      <c r="I165" s="53">
        <v>22836.25</v>
      </c>
      <c r="J165" s="52">
        <v>0.4</v>
      </c>
      <c r="K165" s="53">
        <f t="shared" si="29"/>
        <v>9134.5</v>
      </c>
      <c r="L165" s="53">
        <f t="shared" si="30"/>
        <v>13701.75</v>
      </c>
      <c r="M165" s="89"/>
      <c r="N165" s="111" t="s">
        <v>522</v>
      </c>
      <c r="O165" s="226" t="s">
        <v>567</v>
      </c>
      <c r="P165" s="226"/>
      <c r="Q165" s="252">
        <v>2642.76</v>
      </c>
      <c r="R165" s="252"/>
      <c r="S165" s="112">
        <v>0.4</v>
      </c>
      <c r="T165" s="113">
        <f t="shared" si="31"/>
        <v>1057.104</v>
      </c>
      <c r="U165" s="113">
        <f t="shared" si="32"/>
        <v>1585.6560000000002</v>
      </c>
      <c r="V165" s="114"/>
      <c r="W165" s="253"/>
      <c r="X165" s="253"/>
      <c r="Y165" s="110"/>
      <c r="Z165" s="87"/>
      <c r="AA165" s="88"/>
    </row>
    <row r="166" spans="1:27" ht="12" customHeight="1">
      <c r="A166" s="199" t="s">
        <v>568</v>
      </c>
      <c r="B166" s="193"/>
      <c r="C166" s="46" t="s">
        <v>569</v>
      </c>
      <c r="D166" s="51">
        <v>20393.14</v>
      </c>
      <c r="E166" s="52">
        <v>0.4</v>
      </c>
      <c r="F166" s="53">
        <f t="shared" si="27"/>
        <v>8157.2560000000003</v>
      </c>
      <c r="G166" s="53">
        <f t="shared" si="28"/>
        <v>12235.883999999998</v>
      </c>
      <c r="H166" s="46" t="s">
        <v>570</v>
      </c>
      <c r="I166" s="53">
        <v>34993.879999999997</v>
      </c>
      <c r="J166" s="52">
        <v>0.4</v>
      </c>
      <c r="K166" s="53">
        <f t="shared" si="29"/>
        <v>13997.552</v>
      </c>
      <c r="L166" s="53">
        <f t="shared" si="30"/>
        <v>20996.327999999998</v>
      </c>
      <c r="M166" s="89"/>
      <c r="N166" s="111" t="s">
        <v>571</v>
      </c>
      <c r="O166" s="226" t="s">
        <v>572</v>
      </c>
      <c r="P166" s="226"/>
      <c r="Q166" s="252">
        <v>2642.76</v>
      </c>
      <c r="R166" s="252"/>
      <c r="S166" s="112">
        <v>0.4</v>
      </c>
      <c r="T166" s="113">
        <f t="shared" si="31"/>
        <v>1057.104</v>
      </c>
      <c r="U166" s="113">
        <f t="shared" si="32"/>
        <v>1585.6560000000002</v>
      </c>
      <c r="V166" s="114"/>
      <c r="W166" s="253"/>
      <c r="X166" s="253"/>
      <c r="Y166" s="110"/>
      <c r="Z166" s="87"/>
      <c r="AA166" s="88"/>
    </row>
    <row r="167" spans="1:27" ht="12.95" customHeight="1">
      <c r="A167" s="199" t="s">
        <v>573</v>
      </c>
      <c r="B167" s="193"/>
      <c r="C167" s="46" t="s">
        <v>574</v>
      </c>
      <c r="D167" s="51">
        <v>22690.17</v>
      </c>
      <c r="E167" s="52">
        <v>0.4</v>
      </c>
      <c r="F167" s="53">
        <f t="shared" si="27"/>
        <v>9076.0679999999993</v>
      </c>
      <c r="G167" s="53">
        <f t="shared" si="28"/>
        <v>13614.101999999999</v>
      </c>
      <c r="H167" s="46" t="s">
        <v>575</v>
      </c>
      <c r="I167" s="53">
        <v>38871.519999999997</v>
      </c>
      <c r="J167" s="52">
        <v>0.4</v>
      </c>
      <c r="K167" s="53">
        <f t="shared" si="29"/>
        <v>15548.608</v>
      </c>
      <c r="L167" s="53">
        <f t="shared" si="30"/>
        <v>23322.911999999997</v>
      </c>
      <c r="M167" s="89"/>
      <c r="N167" s="111" t="s">
        <v>528</v>
      </c>
      <c r="O167" s="226" t="s">
        <v>576</v>
      </c>
      <c r="P167" s="226"/>
      <c r="Q167" s="252">
        <v>2908.4</v>
      </c>
      <c r="R167" s="252"/>
      <c r="S167" s="112">
        <v>0.4</v>
      </c>
      <c r="T167" s="113">
        <f t="shared" si="31"/>
        <v>1163.3600000000001</v>
      </c>
      <c r="U167" s="113">
        <f t="shared" si="32"/>
        <v>1745.04</v>
      </c>
      <c r="V167" s="114"/>
      <c r="W167" s="253"/>
      <c r="X167" s="253"/>
      <c r="Y167" s="110"/>
      <c r="Z167" s="87"/>
      <c r="AA167" s="88"/>
    </row>
    <row r="168" spans="1:27" ht="12" customHeight="1">
      <c r="A168" s="245"/>
      <c r="B168" s="245"/>
      <c r="C168" s="89"/>
      <c r="D168" s="102"/>
      <c r="E168" s="103"/>
      <c r="F168" s="104"/>
      <c r="G168" s="104"/>
      <c r="H168" s="89"/>
      <c r="I168" s="89"/>
      <c r="J168" s="103"/>
      <c r="K168" s="104"/>
      <c r="L168" s="104"/>
      <c r="M168" s="89"/>
      <c r="N168" s="111" t="s">
        <v>549</v>
      </c>
      <c r="O168" s="226" t="s">
        <v>577</v>
      </c>
      <c r="P168" s="226"/>
      <c r="Q168" s="252">
        <v>3123.19</v>
      </c>
      <c r="R168" s="252"/>
      <c r="S168" s="112">
        <v>0.4</v>
      </c>
      <c r="T168" s="113">
        <f t="shared" si="31"/>
        <v>1249.2760000000001</v>
      </c>
      <c r="U168" s="113">
        <f t="shared" si="32"/>
        <v>1873.914</v>
      </c>
      <c r="V168" s="114"/>
      <c r="W168" s="253"/>
      <c r="X168" s="253"/>
      <c r="Y168" s="110"/>
      <c r="Z168" s="87"/>
      <c r="AA168" s="88"/>
    </row>
    <row r="169" spans="1:27" ht="14.1" customHeight="1">
      <c r="A169" s="254" t="s">
        <v>578</v>
      </c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89"/>
      <c r="N169" s="111" t="s">
        <v>579</v>
      </c>
      <c r="O169" s="226" t="s">
        <v>580</v>
      </c>
      <c r="P169" s="226"/>
      <c r="Q169" s="252">
        <v>3403.54</v>
      </c>
      <c r="R169" s="252"/>
      <c r="S169" s="112">
        <v>0.4</v>
      </c>
      <c r="T169" s="113">
        <f t="shared" si="31"/>
        <v>1361.4160000000002</v>
      </c>
      <c r="U169" s="113">
        <f t="shared" si="32"/>
        <v>2042.1239999999998</v>
      </c>
      <c r="V169" s="114"/>
      <c r="W169" s="253"/>
      <c r="X169" s="253"/>
      <c r="Y169" s="110"/>
      <c r="Z169" s="87"/>
      <c r="AA169" s="88"/>
    </row>
    <row r="170" spans="1:27" ht="12" customHeight="1">
      <c r="A170" s="254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89"/>
      <c r="N170" s="111" t="s">
        <v>581</v>
      </c>
      <c r="O170" s="226" t="s">
        <v>582</v>
      </c>
      <c r="P170" s="226"/>
      <c r="Q170" s="252">
        <v>4946.71</v>
      </c>
      <c r="R170" s="252"/>
      <c r="S170" s="112">
        <v>0.4</v>
      </c>
      <c r="T170" s="113">
        <f t="shared" si="31"/>
        <v>1978.6840000000002</v>
      </c>
      <c r="U170" s="113">
        <f t="shared" si="32"/>
        <v>2968.0259999999998</v>
      </c>
      <c r="V170" s="114"/>
      <c r="W170" s="253"/>
      <c r="X170" s="253"/>
      <c r="Y170" s="110"/>
      <c r="Z170" s="87"/>
      <c r="AA170" s="88"/>
    </row>
    <row r="171" spans="1:27" ht="12.95" customHeight="1">
      <c r="A171" s="256"/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  <c r="L171" s="257"/>
      <c r="M171" s="89"/>
      <c r="N171" s="111" t="s">
        <v>573</v>
      </c>
      <c r="O171" s="226" t="s">
        <v>583</v>
      </c>
      <c r="P171" s="226"/>
      <c r="Q171" s="252">
        <v>5710.16</v>
      </c>
      <c r="R171" s="252"/>
      <c r="S171" s="112">
        <v>0.4</v>
      </c>
      <c r="T171" s="113">
        <f t="shared" si="31"/>
        <v>2284.0639999999999</v>
      </c>
      <c r="U171" s="113">
        <f t="shared" si="32"/>
        <v>3426.096</v>
      </c>
      <c r="V171" s="114"/>
      <c r="W171" s="253"/>
      <c r="X171" s="253"/>
      <c r="Y171" s="110"/>
      <c r="Z171" s="87"/>
      <c r="AA171" s="88"/>
    </row>
    <row r="172" spans="1:27" ht="15.75" customHeight="1">
      <c r="A172" s="258" t="s">
        <v>49</v>
      </c>
      <c r="B172" s="198"/>
      <c r="C172" s="199" t="s">
        <v>50</v>
      </c>
      <c r="D172" s="200"/>
      <c r="E172" s="200"/>
      <c r="F172" s="200"/>
      <c r="G172" s="193"/>
      <c r="H172" s="199" t="s">
        <v>51</v>
      </c>
      <c r="I172" s="200"/>
      <c r="J172" s="200"/>
      <c r="K172" s="200"/>
      <c r="L172" s="200"/>
      <c r="M172" s="89"/>
      <c r="N172" s="111" t="s">
        <v>584</v>
      </c>
      <c r="O172" s="226" t="s">
        <v>585</v>
      </c>
      <c r="P172" s="226"/>
      <c r="Q172" s="252">
        <v>8153.86</v>
      </c>
      <c r="R172" s="252"/>
      <c r="S172" s="112">
        <v>0.4</v>
      </c>
      <c r="T172" s="113">
        <f t="shared" si="31"/>
        <v>3261.5439999999999</v>
      </c>
      <c r="U172" s="113">
        <f t="shared" si="32"/>
        <v>4892.3159999999998</v>
      </c>
      <c r="V172" s="114"/>
      <c r="W172" s="253"/>
      <c r="X172" s="253"/>
      <c r="Y172" s="110"/>
      <c r="Z172" s="87"/>
      <c r="AA172" s="88"/>
    </row>
    <row r="173" spans="1:27" ht="15.75" customHeight="1" thickBot="1">
      <c r="A173" s="229"/>
      <c r="B173" s="187"/>
      <c r="C173" s="46" t="s">
        <v>52</v>
      </c>
      <c r="D173" s="47" t="s">
        <v>53</v>
      </c>
      <c r="E173" s="48"/>
      <c r="F173" s="49"/>
      <c r="G173" s="49" t="s">
        <v>218</v>
      </c>
      <c r="H173" s="46" t="s">
        <v>52</v>
      </c>
      <c r="I173" s="46" t="s">
        <v>53</v>
      </c>
      <c r="J173" s="48"/>
      <c r="K173" s="49"/>
      <c r="L173" s="49" t="s">
        <v>218</v>
      </c>
      <c r="M173" s="89"/>
      <c r="N173" s="115" t="s">
        <v>586</v>
      </c>
      <c r="O173" s="241" t="s">
        <v>587</v>
      </c>
      <c r="P173" s="241"/>
      <c r="Q173" s="259">
        <v>10532.15</v>
      </c>
      <c r="R173" s="259"/>
      <c r="S173" s="116">
        <v>0.4</v>
      </c>
      <c r="T173" s="117">
        <f t="shared" si="31"/>
        <v>4212.8599999999997</v>
      </c>
      <c r="U173" s="117">
        <f t="shared" si="32"/>
        <v>6319.29</v>
      </c>
      <c r="V173" s="118"/>
      <c r="W173" s="260"/>
      <c r="X173" s="260"/>
      <c r="Y173" s="119"/>
      <c r="Z173" s="98"/>
      <c r="AA173" s="99"/>
    </row>
    <row r="174" spans="1:27" ht="12" customHeight="1">
      <c r="A174" s="199" t="s">
        <v>54</v>
      </c>
      <c r="B174" s="193"/>
      <c r="C174" s="46" t="s">
        <v>588</v>
      </c>
      <c r="D174" s="51">
        <v>37.32</v>
      </c>
      <c r="E174" s="52">
        <v>0.4</v>
      </c>
      <c r="F174" s="53">
        <f t="shared" ref="F174:F197" si="35">(D174*E174)</f>
        <v>14.928000000000001</v>
      </c>
      <c r="G174" s="53">
        <f>D174-F174</f>
        <v>22.391999999999999</v>
      </c>
      <c r="H174" s="46" t="s">
        <v>589</v>
      </c>
      <c r="I174" s="53">
        <v>37.32</v>
      </c>
      <c r="J174" s="52">
        <v>0.4</v>
      </c>
      <c r="K174" s="53">
        <f t="shared" ref="K174:K192" si="36">(I174*J174)</f>
        <v>14.928000000000001</v>
      </c>
      <c r="L174" s="53">
        <f>I174-K174</f>
        <v>22.391999999999999</v>
      </c>
      <c r="M174" s="89"/>
      <c r="N174" s="89"/>
      <c r="O174" s="245"/>
      <c r="P174" s="245"/>
      <c r="Q174" s="245"/>
      <c r="R174" s="245"/>
      <c r="S174" s="105"/>
      <c r="T174" s="89"/>
      <c r="U174" s="89"/>
      <c r="V174" s="89"/>
      <c r="W174" s="89"/>
      <c r="X174" s="89"/>
    </row>
    <row r="175" spans="1:27" ht="14.1" customHeight="1">
      <c r="A175" s="199" t="s">
        <v>57</v>
      </c>
      <c r="B175" s="193"/>
      <c r="C175" s="46" t="s">
        <v>590</v>
      </c>
      <c r="D175" s="51">
        <v>56.1</v>
      </c>
      <c r="E175" s="52">
        <v>0.4</v>
      </c>
      <c r="F175" s="53">
        <f t="shared" si="35"/>
        <v>22.44</v>
      </c>
      <c r="G175" s="53">
        <f t="shared" ref="G175:G197" si="37">D175-F175</f>
        <v>33.659999999999997</v>
      </c>
      <c r="H175" s="46" t="s">
        <v>591</v>
      </c>
      <c r="I175" s="53">
        <v>65.41</v>
      </c>
      <c r="J175" s="52">
        <v>0.4</v>
      </c>
      <c r="K175" s="53">
        <f t="shared" si="36"/>
        <v>26.164000000000001</v>
      </c>
      <c r="L175" s="53">
        <f t="shared" ref="L175:L192" si="38">I175-K175</f>
        <v>39.245999999999995</v>
      </c>
      <c r="M175" s="89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</row>
    <row r="176" spans="1:27" ht="12" customHeight="1">
      <c r="A176" s="199" t="s">
        <v>60</v>
      </c>
      <c r="B176" s="193"/>
      <c r="C176" s="46" t="s">
        <v>592</v>
      </c>
      <c r="D176" s="51">
        <v>82.71</v>
      </c>
      <c r="E176" s="52">
        <v>0.4</v>
      </c>
      <c r="F176" s="53">
        <f t="shared" si="35"/>
        <v>33.083999999999996</v>
      </c>
      <c r="G176" s="53">
        <f t="shared" si="37"/>
        <v>49.625999999999998</v>
      </c>
      <c r="H176" s="46" t="s">
        <v>593</v>
      </c>
      <c r="I176" s="53">
        <v>100.15</v>
      </c>
      <c r="J176" s="52">
        <v>0.4</v>
      </c>
      <c r="K176" s="53">
        <f t="shared" si="36"/>
        <v>40.06</v>
      </c>
      <c r="L176" s="53">
        <f t="shared" si="38"/>
        <v>60.09</v>
      </c>
      <c r="M176" s="89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</row>
    <row r="177" spans="1:24" ht="12.95" customHeight="1">
      <c r="A177" s="199" t="s">
        <v>63</v>
      </c>
      <c r="B177" s="193"/>
      <c r="C177" s="46" t="s">
        <v>594</v>
      </c>
      <c r="D177" s="51">
        <v>117.45</v>
      </c>
      <c r="E177" s="52">
        <v>0.4</v>
      </c>
      <c r="F177" s="53">
        <f t="shared" si="35"/>
        <v>46.980000000000004</v>
      </c>
      <c r="G177" s="53">
        <f t="shared" si="37"/>
        <v>70.47</v>
      </c>
      <c r="H177" s="46" t="s">
        <v>595</v>
      </c>
      <c r="I177" s="53">
        <v>144.21</v>
      </c>
      <c r="J177" s="52">
        <v>0.4</v>
      </c>
      <c r="K177" s="53">
        <f t="shared" si="36"/>
        <v>57.684000000000005</v>
      </c>
      <c r="L177" s="53">
        <f t="shared" si="38"/>
        <v>86.52600000000001</v>
      </c>
      <c r="M177" s="89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</row>
    <row r="178" spans="1:24" ht="15.75" customHeight="1">
      <c r="A178" s="199" t="s">
        <v>66</v>
      </c>
      <c r="B178" s="193"/>
      <c r="C178" s="46" t="s">
        <v>596</v>
      </c>
      <c r="D178" s="51">
        <v>148.19999999999999</v>
      </c>
      <c r="E178" s="52">
        <v>0.4</v>
      </c>
      <c r="F178" s="53">
        <f t="shared" si="35"/>
        <v>59.28</v>
      </c>
      <c r="G178" s="53">
        <f t="shared" si="37"/>
        <v>88.919999999999987</v>
      </c>
      <c r="H178" s="46" t="s">
        <v>597</v>
      </c>
      <c r="I178" s="53">
        <v>188.18</v>
      </c>
      <c r="J178" s="52">
        <v>0.4</v>
      </c>
      <c r="K178" s="53">
        <f t="shared" si="36"/>
        <v>75.272000000000006</v>
      </c>
      <c r="L178" s="53">
        <f t="shared" si="38"/>
        <v>112.908</v>
      </c>
      <c r="M178" s="89"/>
      <c r="N178" s="180"/>
      <c r="O178" s="180"/>
      <c r="P178" s="180"/>
      <c r="Q178" s="180"/>
      <c r="R178" s="180"/>
      <c r="S178" s="180"/>
      <c r="T178" s="180"/>
      <c r="U178" s="180"/>
      <c r="V178" s="180"/>
      <c r="W178" s="264"/>
      <c r="X178" s="264"/>
    </row>
    <row r="179" spans="1:24" ht="12.95" customHeight="1">
      <c r="A179" s="199" t="s">
        <v>69</v>
      </c>
      <c r="B179" s="193"/>
      <c r="C179" s="46" t="s">
        <v>598</v>
      </c>
      <c r="D179" s="51">
        <v>200.15</v>
      </c>
      <c r="E179" s="52">
        <v>0.4</v>
      </c>
      <c r="F179" s="53">
        <f t="shared" si="35"/>
        <v>80.06</v>
      </c>
      <c r="G179" s="53">
        <f t="shared" si="37"/>
        <v>120.09</v>
      </c>
      <c r="H179" s="46" t="s">
        <v>599</v>
      </c>
      <c r="I179" s="53">
        <v>260.32</v>
      </c>
      <c r="J179" s="52">
        <v>0.4</v>
      </c>
      <c r="K179" s="53">
        <f t="shared" si="36"/>
        <v>104.128</v>
      </c>
      <c r="L179" s="53">
        <f t="shared" si="38"/>
        <v>156.19200000000001</v>
      </c>
      <c r="M179" s="89"/>
      <c r="N179" s="180"/>
      <c r="O179" s="180"/>
      <c r="P179" s="180"/>
      <c r="Q179" s="261"/>
      <c r="R179" s="261"/>
      <c r="S179" s="261"/>
      <c r="T179" s="261"/>
      <c r="U179" s="261"/>
      <c r="V179" s="261"/>
      <c r="W179" s="262"/>
      <c r="X179" s="262"/>
    </row>
    <row r="180" spans="1:24" ht="12" customHeight="1">
      <c r="A180" s="199" t="s">
        <v>72</v>
      </c>
      <c r="B180" s="193"/>
      <c r="C180" s="46" t="s">
        <v>600</v>
      </c>
      <c r="D180" s="51">
        <v>280.27999999999997</v>
      </c>
      <c r="E180" s="52">
        <v>0.4</v>
      </c>
      <c r="F180" s="53">
        <f t="shared" si="35"/>
        <v>112.11199999999999</v>
      </c>
      <c r="G180" s="53">
        <f t="shared" si="37"/>
        <v>168.16799999999998</v>
      </c>
      <c r="H180" s="46" t="s">
        <v>601</v>
      </c>
      <c r="I180" s="53">
        <v>351.09</v>
      </c>
      <c r="J180" s="52">
        <v>0.4</v>
      </c>
      <c r="K180" s="53">
        <f t="shared" si="36"/>
        <v>140.43600000000001</v>
      </c>
      <c r="L180" s="53">
        <f t="shared" si="38"/>
        <v>210.65399999999997</v>
      </c>
      <c r="M180" s="89"/>
      <c r="N180" s="180"/>
      <c r="O180" s="180"/>
      <c r="P180" s="180"/>
      <c r="Q180" s="261"/>
      <c r="R180" s="261"/>
      <c r="S180" s="261"/>
      <c r="T180" s="261"/>
      <c r="U180" s="261"/>
      <c r="V180" s="261"/>
      <c r="W180" s="262"/>
      <c r="X180" s="262"/>
    </row>
    <row r="181" spans="1:24" ht="12.95" customHeight="1">
      <c r="A181" s="199" t="s">
        <v>75</v>
      </c>
      <c r="B181" s="193"/>
      <c r="C181" s="46" t="s">
        <v>602</v>
      </c>
      <c r="D181" s="51">
        <v>309.7</v>
      </c>
      <c r="E181" s="52">
        <v>0.4</v>
      </c>
      <c r="F181" s="53">
        <f t="shared" si="35"/>
        <v>123.88</v>
      </c>
      <c r="G181" s="53">
        <f t="shared" si="37"/>
        <v>185.82</v>
      </c>
      <c r="H181" s="46" t="s">
        <v>603</v>
      </c>
      <c r="I181" s="53">
        <v>400.46</v>
      </c>
      <c r="J181" s="52">
        <v>0.4</v>
      </c>
      <c r="K181" s="53">
        <f t="shared" si="36"/>
        <v>160.184</v>
      </c>
      <c r="L181" s="53">
        <f t="shared" si="38"/>
        <v>240.27599999999998</v>
      </c>
      <c r="M181" s="89"/>
      <c r="N181" s="180"/>
      <c r="O181" s="180"/>
      <c r="P181" s="180"/>
      <c r="Q181" s="261"/>
      <c r="R181" s="261"/>
      <c r="S181" s="261"/>
      <c r="T181" s="261"/>
      <c r="U181" s="261"/>
      <c r="V181" s="261"/>
      <c r="W181" s="263"/>
      <c r="X181" s="263"/>
    </row>
    <row r="182" spans="1:24" ht="12" customHeight="1">
      <c r="A182" s="199" t="s">
        <v>78</v>
      </c>
      <c r="B182" s="193"/>
      <c r="C182" s="46" t="s">
        <v>604</v>
      </c>
      <c r="D182" s="51">
        <v>552.57000000000005</v>
      </c>
      <c r="E182" s="52">
        <v>0.4</v>
      </c>
      <c r="F182" s="53">
        <f t="shared" si="35"/>
        <v>221.02800000000002</v>
      </c>
      <c r="G182" s="53">
        <f t="shared" si="37"/>
        <v>331.54200000000003</v>
      </c>
      <c r="H182" s="46" t="s">
        <v>605</v>
      </c>
      <c r="I182" s="53">
        <v>657.97</v>
      </c>
      <c r="J182" s="52">
        <v>0.4</v>
      </c>
      <c r="K182" s="53">
        <f t="shared" si="36"/>
        <v>263.18800000000005</v>
      </c>
      <c r="L182" s="53">
        <f t="shared" si="38"/>
        <v>394.78199999999998</v>
      </c>
      <c r="M182" s="89"/>
      <c r="N182" s="180"/>
      <c r="O182" s="180"/>
      <c r="P182" s="180"/>
      <c r="Q182" s="261"/>
      <c r="R182" s="261"/>
      <c r="S182" s="261"/>
      <c r="T182" s="261"/>
      <c r="U182" s="261"/>
      <c r="V182" s="261"/>
      <c r="W182" s="263"/>
      <c r="X182" s="263"/>
    </row>
    <row r="183" spans="1:24" ht="12" customHeight="1">
      <c r="A183" s="199" t="s">
        <v>81</v>
      </c>
      <c r="B183" s="193"/>
      <c r="C183" s="46" t="s">
        <v>606</v>
      </c>
      <c r="D183" s="51">
        <v>533.87</v>
      </c>
      <c r="E183" s="52">
        <v>0.4</v>
      </c>
      <c r="F183" s="53">
        <f t="shared" si="35"/>
        <v>213.548</v>
      </c>
      <c r="G183" s="53">
        <f t="shared" si="37"/>
        <v>320.322</v>
      </c>
      <c r="H183" s="46" t="s">
        <v>607</v>
      </c>
      <c r="I183" s="53">
        <v>659.3</v>
      </c>
      <c r="J183" s="52">
        <v>0.4</v>
      </c>
      <c r="K183" s="53">
        <f t="shared" si="36"/>
        <v>263.71999999999997</v>
      </c>
      <c r="L183" s="53">
        <f t="shared" si="38"/>
        <v>395.58</v>
      </c>
      <c r="M183" s="89"/>
      <c r="N183" s="238"/>
      <c r="O183" s="238"/>
      <c r="P183" s="238"/>
      <c r="Q183" s="261"/>
      <c r="R183" s="261"/>
      <c r="S183" s="261"/>
      <c r="T183" s="261"/>
      <c r="U183" s="261"/>
      <c r="V183" s="261"/>
      <c r="W183" s="263"/>
      <c r="X183" s="263"/>
    </row>
    <row r="184" spans="1:24" ht="12.95" customHeight="1">
      <c r="A184" s="199" t="s">
        <v>84</v>
      </c>
      <c r="B184" s="193"/>
      <c r="C184" s="46" t="s">
        <v>608</v>
      </c>
      <c r="D184" s="51">
        <v>796.78</v>
      </c>
      <c r="E184" s="52">
        <v>0.4</v>
      </c>
      <c r="F184" s="53">
        <f t="shared" si="35"/>
        <v>318.71199999999999</v>
      </c>
      <c r="G184" s="53">
        <f t="shared" si="37"/>
        <v>478.06799999999998</v>
      </c>
      <c r="H184" s="46" t="s">
        <v>609</v>
      </c>
      <c r="I184" s="53">
        <v>970.33</v>
      </c>
      <c r="J184" s="52">
        <v>0.4</v>
      </c>
      <c r="K184" s="53">
        <f t="shared" si="36"/>
        <v>388.13200000000006</v>
      </c>
      <c r="L184" s="53">
        <f t="shared" si="38"/>
        <v>582.19799999999998</v>
      </c>
      <c r="M184" s="89"/>
      <c r="N184" s="180"/>
      <c r="O184" s="180"/>
      <c r="P184" s="180"/>
      <c r="Q184" s="261"/>
      <c r="R184" s="261"/>
      <c r="S184" s="261"/>
      <c r="T184" s="261"/>
      <c r="U184" s="261"/>
      <c r="V184" s="261"/>
      <c r="W184" s="263"/>
      <c r="X184" s="263"/>
    </row>
    <row r="185" spans="1:24" ht="12" customHeight="1">
      <c r="A185" s="199" t="s">
        <v>87</v>
      </c>
      <c r="B185" s="193"/>
      <c r="C185" s="46" t="s">
        <v>610</v>
      </c>
      <c r="D185" s="51">
        <v>800.85</v>
      </c>
      <c r="E185" s="52">
        <v>0.4</v>
      </c>
      <c r="F185" s="53">
        <f t="shared" si="35"/>
        <v>320.34000000000003</v>
      </c>
      <c r="G185" s="53">
        <f t="shared" si="37"/>
        <v>480.51</v>
      </c>
      <c r="H185" s="46" t="s">
        <v>611</v>
      </c>
      <c r="I185" s="53">
        <v>1041.06</v>
      </c>
      <c r="J185" s="52">
        <v>0.4</v>
      </c>
      <c r="K185" s="53">
        <f t="shared" si="36"/>
        <v>416.42399999999998</v>
      </c>
      <c r="L185" s="53">
        <f t="shared" si="38"/>
        <v>624.63599999999997</v>
      </c>
      <c r="M185" s="89"/>
      <c r="N185" s="180"/>
      <c r="O185" s="180"/>
      <c r="P185" s="180"/>
      <c r="Q185" s="261"/>
      <c r="R185" s="261"/>
      <c r="S185" s="261"/>
      <c r="T185" s="261"/>
      <c r="U185" s="261"/>
      <c r="V185" s="261"/>
      <c r="W185" s="263"/>
      <c r="X185" s="263"/>
    </row>
    <row r="186" spans="1:24" ht="12.95" customHeight="1">
      <c r="A186" s="199" t="s">
        <v>90</v>
      </c>
      <c r="B186" s="193"/>
      <c r="C186" s="46" t="s">
        <v>612</v>
      </c>
      <c r="D186" s="51">
        <v>1103.82</v>
      </c>
      <c r="E186" s="52">
        <v>0.4</v>
      </c>
      <c r="F186" s="53">
        <f t="shared" si="35"/>
        <v>441.52800000000002</v>
      </c>
      <c r="G186" s="53">
        <f t="shared" si="37"/>
        <v>662.29199999999992</v>
      </c>
      <c r="H186" s="46" t="s">
        <v>613</v>
      </c>
      <c r="I186" s="53">
        <v>1504.28</v>
      </c>
      <c r="J186" s="52">
        <v>0.4</v>
      </c>
      <c r="K186" s="53">
        <f t="shared" si="36"/>
        <v>601.71199999999999</v>
      </c>
      <c r="L186" s="53">
        <f t="shared" si="38"/>
        <v>902.56799999999998</v>
      </c>
      <c r="M186" s="89"/>
      <c r="N186" s="89"/>
      <c r="O186" s="245"/>
      <c r="P186" s="245"/>
      <c r="Q186" s="245"/>
      <c r="R186" s="245"/>
      <c r="S186" s="105"/>
      <c r="T186" s="89"/>
      <c r="U186" s="89"/>
      <c r="V186" s="89"/>
      <c r="W186" s="89"/>
      <c r="X186" s="89"/>
    </row>
    <row r="187" spans="1:24" ht="14.1" customHeight="1">
      <c r="A187" s="199" t="s">
        <v>93</v>
      </c>
      <c r="B187" s="193"/>
      <c r="C187" s="46" t="s">
        <v>614</v>
      </c>
      <c r="D187" s="51">
        <v>1689.8</v>
      </c>
      <c r="E187" s="52">
        <v>0.4</v>
      </c>
      <c r="F187" s="53">
        <f t="shared" si="35"/>
        <v>675.92000000000007</v>
      </c>
      <c r="G187" s="53">
        <f t="shared" si="37"/>
        <v>1013.8799999999999</v>
      </c>
      <c r="H187" s="46" t="s">
        <v>615</v>
      </c>
      <c r="I187" s="53">
        <v>2183.61</v>
      </c>
      <c r="J187" s="52">
        <v>0.4</v>
      </c>
      <c r="K187" s="53">
        <f t="shared" si="36"/>
        <v>873.44400000000007</v>
      </c>
      <c r="L187" s="53">
        <f t="shared" si="38"/>
        <v>1310.1660000000002</v>
      </c>
      <c r="M187" s="89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</row>
    <row r="188" spans="1:24" ht="12.95" customHeight="1">
      <c r="A188" s="199" t="s">
        <v>96</v>
      </c>
      <c r="B188" s="193"/>
      <c r="C188" s="46" t="s">
        <v>616</v>
      </c>
      <c r="D188" s="51">
        <v>1970</v>
      </c>
      <c r="E188" s="52">
        <v>0.4</v>
      </c>
      <c r="F188" s="53">
        <f t="shared" si="35"/>
        <v>788</v>
      </c>
      <c r="G188" s="53">
        <f t="shared" si="37"/>
        <v>1182</v>
      </c>
      <c r="H188" s="46" t="s">
        <v>617</v>
      </c>
      <c r="I188" s="53">
        <v>2544.0100000000002</v>
      </c>
      <c r="J188" s="52">
        <v>0.4</v>
      </c>
      <c r="K188" s="53">
        <f t="shared" si="36"/>
        <v>1017.6040000000002</v>
      </c>
      <c r="L188" s="53">
        <f t="shared" si="38"/>
        <v>1526.4059999999999</v>
      </c>
      <c r="M188" s="89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</row>
    <row r="189" spans="1:24" ht="12" customHeight="1">
      <c r="A189" s="199" t="s">
        <v>99</v>
      </c>
      <c r="B189" s="193"/>
      <c r="C189" s="46" t="s">
        <v>618</v>
      </c>
      <c r="D189" s="51">
        <v>2749.56</v>
      </c>
      <c r="E189" s="52">
        <v>0.4</v>
      </c>
      <c r="F189" s="53">
        <f t="shared" si="35"/>
        <v>1099.8240000000001</v>
      </c>
      <c r="G189" s="53">
        <f t="shared" si="37"/>
        <v>1649.7359999999999</v>
      </c>
      <c r="H189" s="46" t="s">
        <v>619</v>
      </c>
      <c r="I189" s="53">
        <v>3750.57</v>
      </c>
      <c r="J189" s="52">
        <v>0.4</v>
      </c>
      <c r="K189" s="53">
        <f t="shared" si="36"/>
        <v>1500.2280000000001</v>
      </c>
      <c r="L189" s="53">
        <f t="shared" si="38"/>
        <v>2250.3420000000001</v>
      </c>
      <c r="M189" s="89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</row>
    <row r="190" spans="1:24" ht="15.75" customHeight="1">
      <c r="A190" s="199" t="s">
        <v>102</v>
      </c>
      <c r="B190" s="193"/>
      <c r="C190" s="46" t="s">
        <v>620</v>
      </c>
      <c r="D190" s="51">
        <v>3550.33</v>
      </c>
      <c r="E190" s="52">
        <v>0.4</v>
      </c>
      <c r="F190" s="53">
        <f t="shared" si="35"/>
        <v>1420.1320000000001</v>
      </c>
      <c r="G190" s="53">
        <f t="shared" si="37"/>
        <v>2130.1979999999999</v>
      </c>
      <c r="H190" s="46" t="s">
        <v>621</v>
      </c>
      <c r="I190" s="53">
        <v>4778.25</v>
      </c>
      <c r="J190" s="52">
        <v>0.4</v>
      </c>
      <c r="K190" s="53">
        <f t="shared" si="36"/>
        <v>1911.3000000000002</v>
      </c>
      <c r="L190" s="53">
        <f t="shared" si="38"/>
        <v>2866.95</v>
      </c>
      <c r="M190" s="89"/>
      <c r="N190" s="180"/>
      <c r="O190" s="180"/>
      <c r="P190" s="180"/>
      <c r="Q190" s="180"/>
      <c r="R190" s="180"/>
      <c r="S190" s="180"/>
      <c r="T190" s="180"/>
      <c r="U190" s="180"/>
      <c r="V190" s="180"/>
      <c r="W190" s="264"/>
      <c r="X190" s="264"/>
    </row>
    <row r="191" spans="1:24" ht="12" customHeight="1">
      <c r="A191" s="199" t="s">
        <v>105</v>
      </c>
      <c r="B191" s="193"/>
      <c r="C191" s="46" t="s">
        <v>622</v>
      </c>
      <c r="D191" s="51">
        <v>5071.9799999999996</v>
      </c>
      <c r="E191" s="52">
        <v>0.4</v>
      </c>
      <c r="F191" s="53">
        <f t="shared" si="35"/>
        <v>2028.7919999999999</v>
      </c>
      <c r="G191" s="53">
        <f t="shared" si="37"/>
        <v>3043.1879999999996</v>
      </c>
      <c r="H191" s="46" t="s">
        <v>623</v>
      </c>
      <c r="I191" s="53">
        <v>5872.75</v>
      </c>
      <c r="J191" s="52">
        <v>0.4</v>
      </c>
      <c r="K191" s="53">
        <f t="shared" si="36"/>
        <v>2349.1</v>
      </c>
      <c r="L191" s="53">
        <f t="shared" si="38"/>
        <v>3523.65</v>
      </c>
      <c r="M191" s="89"/>
      <c r="N191" s="180"/>
      <c r="O191" s="180"/>
      <c r="P191" s="180"/>
      <c r="Q191" s="261"/>
      <c r="R191" s="261"/>
      <c r="S191" s="261"/>
      <c r="T191" s="261"/>
      <c r="U191" s="261"/>
      <c r="V191" s="261"/>
      <c r="W191" s="262"/>
      <c r="X191" s="262"/>
    </row>
    <row r="192" spans="1:24" ht="12.95" customHeight="1">
      <c r="A192" s="199" t="s">
        <v>108</v>
      </c>
      <c r="B192" s="193"/>
      <c r="C192" s="46" t="s">
        <v>624</v>
      </c>
      <c r="D192" s="51">
        <v>5525.73</v>
      </c>
      <c r="E192" s="52">
        <v>0.4</v>
      </c>
      <c r="F192" s="53">
        <f t="shared" si="35"/>
        <v>2210.2919999999999</v>
      </c>
      <c r="G192" s="53">
        <f t="shared" si="37"/>
        <v>3315.4379999999996</v>
      </c>
      <c r="H192" s="46" t="s">
        <v>625</v>
      </c>
      <c r="I192" s="53">
        <v>7953.71</v>
      </c>
      <c r="J192" s="52">
        <v>0.4</v>
      </c>
      <c r="K192" s="53">
        <f t="shared" si="36"/>
        <v>3181.4840000000004</v>
      </c>
      <c r="L192" s="53">
        <f t="shared" si="38"/>
        <v>4772.2259999999997</v>
      </c>
      <c r="M192" s="89"/>
      <c r="N192" s="180"/>
      <c r="O192" s="180"/>
      <c r="P192" s="180"/>
      <c r="Q192" s="261"/>
      <c r="R192" s="261"/>
      <c r="S192" s="261"/>
      <c r="T192" s="261"/>
      <c r="U192" s="261"/>
      <c r="V192" s="261"/>
      <c r="W192" s="262"/>
      <c r="X192" s="262"/>
    </row>
    <row r="193" spans="1:24" ht="12" customHeight="1">
      <c r="A193" s="199" t="s">
        <v>626</v>
      </c>
      <c r="B193" s="193"/>
      <c r="C193" s="46" t="s">
        <v>627</v>
      </c>
      <c r="D193" s="51">
        <v>8119.98</v>
      </c>
      <c r="E193" s="52">
        <v>0.4</v>
      </c>
      <c r="F193" s="53">
        <f t="shared" si="35"/>
        <v>3247.9920000000002</v>
      </c>
      <c r="G193" s="53">
        <f t="shared" si="37"/>
        <v>4871.9879999999994</v>
      </c>
      <c r="H193" s="73"/>
      <c r="I193" s="73"/>
      <c r="J193" s="52"/>
      <c r="K193" s="53"/>
      <c r="L193" s="53"/>
      <c r="M193" s="89"/>
      <c r="N193" s="180"/>
      <c r="O193" s="180"/>
      <c r="P193" s="180"/>
      <c r="Q193" s="261"/>
      <c r="R193" s="261"/>
      <c r="S193" s="261"/>
      <c r="T193" s="261"/>
      <c r="U193" s="261"/>
      <c r="V193" s="261"/>
      <c r="W193" s="263"/>
      <c r="X193" s="263"/>
    </row>
    <row r="194" spans="1:24" ht="12.95" customHeight="1">
      <c r="A194" s="199" t="s">
        <v>628</v>
      </c>
      <c r="B194" s="193"/>
      <c r="C194" s="46" t="s">
        <v>629</v>
      </c>
      <c r="D194" s="51">
        <v>10871.89</v>
      </c>
      <c r="E194" s="52">
        <v>0.4</v>
      </c>
      <c r="F194" s="53">
        <f t="shared" si="35"/>
        <v>4348.7560000000003</v>
      </c>
      <c r="G194" s="53">
        <f t="shared" si="37"/>
        <v>6523.1339999999991</v>
      </c>
      <c r="H194" s="73"/>
      <c r="I194" s="73"/>
      <c r="J194" s="52"/>
      <c r="K194" s="53"/>
      <c r="L194" s="53"/>
      <c r="M194" s="89"/>
      <c r="N194" s="180"/>
      <c r="O194" s="180"/>
      <c r="P194" s="180"/>
      <c r="Q194" s="261"/>
      <c r="R194" s="261"/>
      <c r="S194" s="261"/>
      <c r="T194" s="261"/>
      <c r="U194" s="261"/>
      <c r="V194" s="261"/>
      <c r="W194" s="263"/>
      <c r="X194" s="263"/>
    </row>
    <row r="195" spans="1:24" ht="12" customHeight="1">
      <c r="A195" s="199" t="s">
        <v>630</v>
      </c>
      <c r="B195" s="193"/>
      <c r="C195" s="46" t="s">
        <v>631</v>
      </c>
      <c r="D195" s="51">
        <v>12162.87</v>
      </c>
      <c r="E195" s="52">
        <v>0.4</v>
      </c>
      <c r="F195" s="53">
        <f t="shared" si="35"/>
        <v>4865.1480000000001</v>
      </c>
      <c r="G195" s="53">
        <f t="shared" si="37"/>
        <v>7297.7220000000007</v>
      </c>
      <c r="H195" s="73"/>
      <c r="I195" s="73"/>
      <c r="J195" s="52"/>
      <c r="K195" s="53"/>
      <c r="L195" s="53"/>
      <c r="M195" s="89"/>
      <c r="N195" s="238"/>
      <c r="O195" s="238"/>
      <c r="P195" s="238"/>
      <c r="Q195" s="261"/>
      <c r="R195" s="261"/>
      <c r="S195" s="261"/>
      <c r="T195" s="261"/>
      <c r="U195" s="261"/>
      <c r="V195" s="261"/>
      <c r="W195" s="263"/>
      <c r="X195" s="263"/>
    </row>
    <row r="196" spans="1:24" ht="12.95" customHeight="1">
      <c r="A196" s="199" t="s">
        <v>632</v>
      </c>
      <c r="B196" s="193"/>
      <c r="C196" s="46" t="s">
        <v>633</v>
      </c>
      <c r="D196" s="51">
        <v>15288.64</v>
      </c>
      <c r="E196" s="52">
        <v>0.4</v>
      </c>
      <c r="F196" s="53">
        <f t="shared" si="35"/>
        <v>6115.4560000000001</v>
      </c>
      <c r="G196" s="53">
        <f t="shared" si="37"/>
        <v>9173.1839999999993</v>
      </c>
      <c r="H196" s="73"/>
      <c r="I196" s="73"/>
      <c r="J196" s="52"/>
      <c r="K196" s="53"/>
      <c r="L196" s="53"/>
      <c r="M196" s="89"/>
      <c r="N196" s="180"/>
      <c r="O196" s="180"/>
      <c r="P196" s="180"/>
      <c r="Q196" s="261"/>
      <c r="R196" s="261"/>
      <c r="S196" s="261"/>
      <c r="T196" s="261"/>
      <c r="U196" s="261"/>
      <c r="V196" s="261"/>
      <c r="W196" s="263"/>
      <c r="X196" s="263"/>
    </row>
    <row r="197" spans="1:24" ht="12.75" customHeight="1">
      <c r="A197" s="199" t="s">
        <v>634</v>
      </c>
      <c r="B197" s="193"/>
      <c r="C197" s="46" t="s">
        <v>635</v>
      </c>
      <c r="D197" s="51">
        <v>31936.1</v>
      </c>
      <c r="E197" s="52">
        <v>0.4</v>
      </c>
      <c r="F197" s="53">
        <f t="shared" si="35"/>
        <v>12774.44</v>
      </c>
      <c r="G197" s="53">
        <f t="shared" si="37"/>
        <v>19161.659999999996</v>
      </c>
      <c r="H197" s="73"/>
      <c r="I197" s="73"/>
      <c r="J197" s="52"/>
      <c r="K197" s="53"/>
      <c r="L197" s="53"/>
      <c r="M197" s="89"/>
      <c r="N197" s="180"/>
      <c r="O197" s="180"/>
      <c r="P197" s="180"/>
      <c r="Q197" s="261"/>
      <c r="R197" s="261"/>
      <c r="S197" s="261"/>
      <c r="T197" s="261"/>
      <c r="U197" s="261"/>
      <c r="V197" s="261"/>
      <c r="W197" s="263"/>
      <c r="X197" s="263"/>
    </row>
    <row r="198" spans="1:24" ht="6.75" customHeight="1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</row>
    <row r="199" spans="1:24" ht="22.5" customHeight="1">
      <c r="A199" s="7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38"/>
      <c r="S199" s="238"/>
      <c r="T199" s="238"/>
      <c r="U199" s="238"/>
      <c r="V199" s="238"/>
      <c r="W199" s="238"/>
      <c r="X199" s="75"/>
    </row>
    <row r="200" spans="1:24" ht="22.5" customHeight="1">
      <c r="A200" s="75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75"/>
    </row>
    <row r="201" spans="1:24" ht="19.5" customHeight="1">
      <c r="A201" s="75"/>
      <c r="B201" s="267"/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75"/>
    </row>
    <row r="202" spans="1:24" ht="19.5" customHeight="1">
      <c r="A202" s="75"/>
      <c r="B202" s="267"/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75"/>
    </row>
  </sheetData>
  <mergeCells count="507">
    <mergeCell ref="A198:X198"/>
    <mergeCell ref="B199:Q199"/>
    <mergeCell ref="R199:W199"/>
    <mergeCell ref="B200:W200"/>
    <mergeCell ref="B201:W201"/>
    <mergeCell ref="B202:W202"/>
    <mergeCell ref="A196:B196"/>
    <mergeCell ref="N196:P196"/>
    <mergeCell ref="Q196:V196"/>
    <mergeCell ref="W196:X196"/>
    <mergeCell ref="A197:B197"/>
    <mergeCell ref="N197:P197"/>
    <mergeCell ref="Q197:V197"/>
    <mergeCell ref="W197:X197"/>
    <mergeCell ref="A194:B194"/>
    <mergeCell ref="N194:P194"/>
    <mergeCell ref="Q194:V194"/>
    <mergeCell ref="W194:X194"/>
    <mergeCell ref="A195:B195"/>
    <mergeCell ref="N195:P195"/>
    <mergeCell ref="Q195:V195"/>
    <mergeCell ref="W195:X195"/>
    <mergeCell ref="A192:B192"/>
    <mergeCell ref="N192:P192"/>
    <mergeCell ref="Q192:V192"/>
    <mergeCell ref="W192:X192"/>
    <mergeCell ref="A193:B193"/>
    <mergeCell ref="N193:P193"/>
    <mergeCell ref="Q193:V193"/>
    <mergeCell ref="W193:X193"/>
    <mergeCell ref="A190:B190"/>
    <mergeCell ref="N190:P190"/>
    <mergeCell ref="Q190:V190"/>
    <mergeCell ref="W190:X190"/>
    <mergeCell ref="A191:B191"/>
    <mergeCell ref="N191:P191"/>
    <mergeCell ref="Q191:V191"/>
    <mergeCell ref="W191:X191"/>
    <mergeCell ref="A186:B186"/>
    <mergeCell ref="O186:P186"/>
    <mergeCell ref="Q186:R186"/>
    <mergeCell ref="A187:B187"/>
    <mergeCell ref="N187:X189"/>
    <mergeCell ref="A188:B188"/>
    <mergeCell ref="A189:B189"/>
    <mergeCell ref="A184:B184"/>
    <mergeCell ref="N184:P184"/>
    <mergeCell ref="Q184:V184"/>
    <mergeCell ref="W184:X184"/>
    <mergeCell ref="A185:B185"/>
    <mergeCell ref="N185:P185"/>
    <mergeCell ref="Q185:V185"/>
    <mergeCell ref="W185:X185"/>
    <mergeCell ref="A182:B182"/>
    <mergeCell ref="N182:P182"/>
    <mergeCell ref="Q182:V182"/>
    <mergeCell ref="W182:X182"/>
    <mergeCell ref="A183:B183"/>
    <mergeCell ref="N183:P183"/>
    <mergeCell ref="Q183:V183"/>
    <mergeCell ref="W183:X183"/>
    <mergeCell ref="A180:B180"/>
    <mergeCell ref="N180:P180"/>
    <mergeCell ref="Q180:V180"/>
    <mergeCell ref="W180:X180"/>
    <mergeCell ref="A181:B181"/>
    <mergeCell ref="N181:P181"/>
    <mergeCell ref="Q181:V181"/>
    <mergeCell ref="W181:X181"/>
    <mergeCell ref="A178:B178"/>
    <mergeCell ref="N178:P178"/>
    <mergeCell ref="Q178:V178"/>
    <mergeCell ref="W178:X178"/>
    <mergeCell ref="A179:B179"/>
    <mergeCell ref="N179:P179"/>
    <mergeCell ref="Q179:V179"/>
    <mergeCell ref="W179:X179"/>
    <mergeCell ref="A174:B174"/>
    <mergeCell ref="O174:P174"/>
    <mergeCell ref="Q174:R174"/>
    <mergeCell ref="A175:B175"/>
    <mergeCell ref="N175:X177"/>
    <mergeCell ref="A176:B176"/>
    <mergeCell ref="A177:B177"/>
    <mergeCell ref="A172:B173"/>
    <mergeCell ref="C172:G172"/>
    <mergeCell ref="H172:L172"/>
    <mergeCell ref="O172:P172"/>
    <mergeCell ref="Q172:R172"/>
    <mergeCell ref="W172:X172"/>
    <mergeCell ref="O173:P173"/>
    <mergeCell ref="Q173:R173"/>
    <mergeCell ref="W173:X173"/>
    <mergeCell ref="A169:L171"/>
    <mergeCell ref="O169:P169"/>
    <mergeCell ref="Q169:R169"/>
    <mergeCell ref="W169:X169"/>
    <mergeCell ref="O170:P170"/>
    <mergeCell ref="Q170:R170"/>
    <mergeCell ref="W170:X170"/>
    <mergeCell ref="O171:P171"/>
    <mergeCell ref="Q171:R171"/>
    <mergeCell ref="W171:X171"/>
    <mergeCell ref="A167:B167"/>
    <mergeCell ref="O167:P167"/>
    <mergeCell ref="Q167:R167"/>
    <mergeCell ref="W167:X167"/>
    <mergeCell ref="A168:B168"/>
    <mergeCell ref="O168:P168"/>
    <mergeCell ref="Q168:R168"/>
    <mergeCell ref="W168:X168"/>
    <mergeCell ref="A165:B165"/>
    <mergeCell ref="O165:P165"/>
    <mergeCell ref="Q165:R165"/>
    <mergeCell ref="W165:X165"/>
    <mergeCell ref="A166:B166"/>
    <mergeCell ref="O166:P166"/>
    <mergeCell ref="Q166:R166"/>
    <mergeCell ref="W166:X166"/>
    <mergeCell ref="A163:B163"/>
    <mergeCell ref="O163:P163"/>
    <mergeCell ref="Q163:R163"/>
    <mergeCell ref="W163:X163"/>
    <mergeCell ref="A164:B164"/>
    <mergeCell ref="O164:P164"/>
    <mergeCell ref="Q164:R164"/>
    <mergeCell ref="W164:X164"/>
    <mergeCell ref="A161:B161"/>
    <mergeCell ref="O161:P161"/>
    <mergeCell ref="Q161:R161"/>
    <mergeCell ref="W161:X161"/>
    <mergeCell ref="A162:B162"/>
    <mergeCell ref="O162:P162"/>
    <mergeCell ref="Q162:R162"/>
    <mergeCell ref="W162:X162"/>
    <mergeCell ref="A159:B159"/>
    <mergeCell ref="O159:P159"/>
    <mergeCell ref="Q159:R159"/>
    <mergeCell ref="W159:X159"/>
    <mergeCell ref="A160:B160"/>
    <mergeCell ref="O160:P160"/>
    <mergeCell ref="Q160:R160"/>
    <mergeCell ref="W160:X160"/>
    <mergeCell ref="A157:B157"/>
    <mergeCell ref="O157:P157"/>
    <mergeCell ref="Q157:R157"/>
    <mergeCell ref="W157:X157"/>
    <mergeCell ref="A158:B158"/>
    <mergeCell ref="O158:P158"/>
    <mergeCell ref="Q158:R158"/>
    <mergeCell ref="W158:X158"/>
    <mergeCell ref="A155:B155"/>
    <mergeCell ref="O155:P155"/>
    <mergeCell ref="Q155:R155"/>
    <mergeCell ref="W155:X155"/>
    <mergeCell ref="A156:B156"/>
    <mergeCell ref="O156:P156"/>
    <mergeCell ref="Q156:R156"/>
    <mergeCell ref="W156:X156"/>
    <mergeCell ref="A153:B153"/>
    <mergeCell ref="O153:P153"/>
    <mergeCell ref="Q153:R153"/>
    <mergeCell ref="W153:X153"/>
    <mergeCell ref="A154:B154"/>
    <mergeCell ref="O154:P154"/>
    <mergeCell ref="Q154:R154"/>
    <mergeCell ref="W154:X154"/>
    <mergeCell ref="A151:B151"/>
    <mergeCell ref="O151:P151"/>
    <mergeCell ref="Q151:R151"/>
    <mergeCell ref="W151:X151"/>
    <mergeCell ref="A152:B152"/>
    <mergeCell ref="O152:P152"/>
    <mergeCell ref="Q152:R152"/>
    <mergeCell ref="W152:X152"/>
    <mergeCell ref="A149:B149"/>
    <mergeCell ref="O149:P149"/>
    <mergeCell ref="Q149:R149"/>
    <mergeCell ref="W149:X149"/>
    <mergeCell ref="A150:B150"/>
    <mergeCell ref="O150:P150"/>
    <mergeCell ref="Q150:R150"/>
    <mergeCell ref="W150:X150"/>
    <mergeCell ref="A147:B147"/>
    <mergeCell ref="O147:P147"/>
    <mergeCell ref="Q147:R147"/>
    <mergeCell ref="W147:X147"/>
    <mergeCell ref="A148:B148"/>
    <mergeCell ref="O148:P148"/>
    <mergeCell ref="Q148:R148"/>
    <mergeCell ref="W148:X148"/>
    <mergeCell ref="V144:AA144"/>
    <mergeCell ref="O145:P145"/>
    <mergeCell ref="Q145:R145"/>
    <mergeCell ref="W145:X145"/>
    <mergeCell ref="A146:B146"/>
    <mergeCell ref="O146:P146"/>
    <mergeCell ref="Q146:R146"/>
    <mergeCell ref="W146:X146"/>
    <mergeCell ref="A142:B142"/>
    <mergeCell ref="O142:P142"/>
    <mergeCell ref="Q142:R142"/>
    <mergeCell ref="A143:L143"/>
    <mergeCell ref="N143:X143"/>
    <mergeCell ref="A144:B145"/>
    <mergeCell ref="C144:G144"/>
    <mergeCell ref="H144:L144"/>
    <mergeCell ref="N144:N145"/>
    <mergeCell ref="O144:U144"/>
    <mergeCell ref="A139:B139"/>
    <mergeCell ref="N139:W139"/>
    <mergeCell ref="A140:B140"/>
    <mergeCell ref="N140:W140"/>
    <mergeCell ref="A141:B141"/>
    <mergeCell ref="N141:W141"/>
    <mergeCell ref="A137:B137"/>
    <mergeCell ref="O137:P137"/>
    <mergeCell ref="Q137:R137"/>
    <mergeCell ref="W137:X137"/>
    <mergeCell ref="A138:B138"/>
    <mergeCell ref="N138:R138"/>
    <mergeCell ref="V138:W138"/>
    <mergeCell ref="A135:B135"/>
    <mergeCell ref="O135:P135"/>
    <mergeCell ref="Q135:R135"/>
    <mergeCell ref="W135:X135"/>
    <mergeCell ref="A136:B136"/>
    <mergeCell ref="O136:P136"/>
    <mergeCell ref="Q136:R136"/>
    <mergeCell ref="W136:X136"/>
    <mergeCell ref="A133:B133"/>
    <mergeCell ref="O133:P133"/>
    <mergeCell ref="Q133:R133"/>
    <mergeCell ref="W133:X133"/>
    <mergeCell ref="A134:B134"/>
    <mergeCell ref="O134:P134"/>
    <mergeCell ref="Q134:R134"/>
    <mergeCell ref="W134:X134"/>
    <mergeCell ref="A131:B131"/>
    <mergeCell ref="O131:P131"/>
    <mergeCell ref="Q131:R131"/>
    <mergeCell ref="W131:X131"/>
    <mergeCell ref="A132:B132"/>
    <mergeCell ref="O132:P132"/>
    <mergeCell ref="Q132:R132"/>
    <mergeCell ref="W132:X132"/>
    <mergeCell ref="A129:B129"/>
    <mergeCell ref="O129:P129"/>
    <mergeCell ref="Q129:R129"/>
    <mergeCell ref="W129:X129"/>
    <mergeCell ref="A130:B130"/>
    <mergeCell ref="O130:P130"/>
    <mergeCell ref="Q130:R130"/>
    <mergeCell ref="W130:X130"/>
    <mergeCell ref="A127:B127"/>
    <mergeCell ref="O127:P127"/>
    <mergeCell ref="Q127:R127"/>
    <mergeCell ref="W127:X127"/>
    <mergeCell ref="A128:B128"/>
    <mergeCell ref="O128:P128"/>
    <mergeCell ref="Q128:R128"/>
    <mergeCell ref="W128:X128"/>
    <mergeCell ref="A125:B125"/>
    <mergeCell ref="O125:P125"/>
    <mergeCell ref="Q125:R125"/>
    <mergeCell ref="W125:X125"/>
    <mergeCell ref="A126:B126"/>
    <mergeCell ref="O126:P126"/>
    <mergeCell ref="Q126:R126"/>
    <mergeCell ref="W126:X126"/>
    <mergeCell ref="A123:B123"/>
    <mergeCell ref="O123:P123"/>
    <mergeCell ref="Q123:R123"/>
    <mergeCell ref="W123:X123"/>
    <mergeCell ref="A124:B124"/>
    <mergeCell ref="O124:P124"/>
    <mergeCell ref="Q124:R124"/>
    <mergeCell ref="W124:X124"/>
    <mergeCell ref="A121:B121"/>
    <mergeCell ref="O121:P121"/>
    <mergeCell ref="Q121:R121"/>
    <mergeCell ref="W121:X121"/>
    <mergeCell ref="A122:B122"/>
    <mergeCell ref="O122:P122"/>
    <mergeCell ref="Q122:R122"/>
    <mergeCell ref="W122:X122"/>
    <mergeCell ref="A119:B119"/>
    <mergeCell ref="O119:P119"/>
    <mergeCell ref="Q119:R119"/>
    <mergeCell ref="W119:X119"/>
    <mergeCell ref="A120:B120"/>
    <mergeCell ref="O120:P120"/>
    <mergeCell ref="Q120:R120"/>
    <mergeCell ref="W120:X120"/>
    <mergeCell ref="A117:B117"/>
    <mergeCell ref="O117:P117"/>
    <mergeCell ref="Q117:R117"/>
    <mergeCell ref="W117:X117"/>
    <mergeCell ref="A118:B118"/>
    <mergeCell ref="O118:P118"/>
    <mergeCell ref="Q118:R118"/>
    <mergeCell ref="W118:X118"/>
    <mergeCell ref="A115:B115"/>
    <mergeCell ref="O115:P115"/>
    <mergeCell ref="Q115:R115"/>
    <mergeCell ref="W115:X115"/>
    <mergeCell ref="A116:B116"/>
    <mergeCell ref="O116:P116"/>
    <mergeCell ref="Q116:R116"/>
    <mergeCell ref="W116:X116"/>
    <mergeCell ref="A113:B113"/>
    <mergeCell ref="O113:P113"/>
    <mergeCell ref="Q113:R113"/>
    <mergeCell ref="W113:X113"/>
    <mergeCell ref="A114:B114"/>
    <mergeCell ref="O114:P114"/>
    <mergeCell ref="Q114:R114"/>
    <mergeCell ref="W114:X114"/>
    <mergeCell ref="A111:B111"/>
    <mergeCell ref="O111:P111"/>
    <mergeCell ref="Q111:R111"/>
    <mergeCell ref="W111:X111"/>
    <mergeCell ref="A112:B112"/>
    <mergeCell ref="O112:P112"/>
    <mergeCell ref="Q112:R112"/>
    <mergeCell ref="W112:X112"/>
    <mergeCell ref="A109:B109"/>
    <mergeCell ref="O109:P109"/>
    <mergeCell ref="Q109:R109"/>
    <mergeCell ref="W109:X109"/>
    <mergeCell ref="A110:B110"/>
    <mergeCell ref="O110:P110"/>
    <mergeCell ref="Q110:R110"/>
    <mergeCell ref="W110:X110"/>
    <mergeCell ref="A107:B107"/>
    <mergeCell ref="O107:P107"/>
    <mergeCell ref="Q107:R107"/>
    <mergeCell ref="W107:X107"/>
    <mergeCell ref="A108:B108"/>
    <mergeCell ref="O108:P108"/>
    <mergeCell ref="Q108:R108"/>
    <mergeCell ref="W108:X108"/>
    <mergeCell ref="A105:B105"/>
    <mergeCell ref="O105:P105"/>
    <mergeCell ref="Q105:R105"/>
    <mergeCell ref="W105:X105"/>
    <mergeCell ref="A106:B106"/>
    <mergeCell ref="O106:P106"/>
    <mergeCell ref="Q106:R106"/>
    <mergeCell ref="W106:X106"/>
    <mergeCell ref="A103:B103"/>
    <mergeCell ref="O103:P103"/>
    <mergeCell ref="Q103:R103"/>
    <mergeCell ref="W103:X103"/>
    <mergeCell ref="A104:B104"/>
    <mergeCell ref="O104:P104"/>
    <mergeCell ref="Q104:R104"/>
    <mergeCell ref="W104:X104"/>
    <mergeCell ref="A101:B101"/>
    <mergeCell ref="O101:P101"/>
    <mergeCell ref="Q101:R101"/>
    <mergeCell ref="W101:X101"/>
    <mergeCell ref="A102:B102"/>
    <mergeCell ref="O102:P102"/>
    <mergeCell ref="Q102:R102"/>
    <mergeCell ref="W102:X102"/>
    <mergeCell ref="A99:B99"/>
    <mergeCell ref="O99:P99"/>
    <mergeCell ref="Q99:R99"/>
    <mergeCell ref="W99:X99"/>
    <mergeCell ref="A100:B100"/>
    <mergeCell ref="O100:P100"/>
    <mergeCell ref="Q100:R100"/>
    <mergeCell ref="W100:X100"/>
    <mergeCell ref="A97:B97"/>
    <mergeCell ref="O97:P97"/>
    <mergeCell ref="Q97:R97"/>
    <mergeCell ref="W97:X97"/>
    <mergeCell ref="A98:B98"/>
    <mergeCell ref="O98:P98"/>
    <mergeCell ref="Q98:R98"/>
    <mergeCell ref="W98:X98"/>
    <mergeCell ref="A95:B95"/>
    <mergeCell ref="O95:P95"/>
    <mergeCell ref="Q95:R95"/>
    <mergeCell ref="W95:X95"/>
    <mergeCell ref="A96:B96"/>
    <mergeCell ref="O96:P96"/>
    <mergeCell ref="Q96:R96"/>
    <mergeCell ref="W96:X96"/>
    <mergeCell ref="A93:B93"/>
    <mergeCell ref="O93:P93"/>
    <mergeCell ref="Q93:R93"/>
    <mergeCell ref="W93:X93"/>
    <mergeCell ref="A94:B94"/>
    <mergeCell ref="O94:P94"/>
    <mergeCell ref="Q94:R94"/>
    <mergeCell ref="W94:X94"/>
    <mergeCell ref="A91:B91"/>
    <mergeCell ref="O91:P91"/>
    <mergeCell ref="Q91:R91"/>
    <mergeCell ref="W91:X91"/>
    <mergeCell ref="A92:B92"/>
    <mergeCell ref="O92:P92"/>
    <mergeCell ref="Q92:R92"/>
    <mergeCell ref="W92:X92"/>
    <mergeCell ref="A89:B90"/>
    <mergeCell ref="C89:G89"/>
    <mergeCell ref="H89:L89"/>
    <mergeCell ref="N89:N90"/>
    <mergeCell ref="O89:U89"/>
    <mergeCell ref="V89:AA89"/>
    <mergeCell ref="O90:P90"/>
    <mergeCell ref="Q90:R90"/>
    <mergeCell ref="W90:X90"/>
    <mergeCell ref="A83:B83"/>
    <mergeCell ref="A84:B84"/>
    <mergeCell ref="A85:B85"/>
    <mergeCell ref="A86:B86"/>
    <mergeCell ref="O87:P87"/>
    <mergeCell ref="A88:I88"/>
    <mergeCell ref="N88:AA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4:B64"/>
    <mergeCell ref="A65:B65"/>
    <mergeCell ref="A66:B66"/>
    <mergeCell ref="A67:B67"/>
    <mergeCell ref="A68:L68"/>
    <mergeCell ref="A69:B70"/>
    <mergeCell ref="H69:L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7:B48"/>
    <mergeCell ref="C47:G47"/>
    <mergeCell ref="H47:L47"/>
    <mergeCell ref="A49:B49"/>
    <mergeCell ref="A50:B50"/>
    <mergeCell ref="A51:B51"/>
    <mergeCell ref="A41:B41"/>
    <mergeCell ref="A42:B42"/>
    <mergeCell ref="A43:B43"/>
    <mergeCell ref="A44:B44"/>
    <mergeCell ref="A45:B45"/>
    <mergeCell ref="A46:L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4:L24"/>
    <mergeCell ref="A25:B26"/>
    <mergeCell ref="C25:G25"/>
    <mergeCell ref="H25:L25"/>
    <mergeCell ref="A27:B27"/>
    <mergeCell ref="A28:B28"/>
    <mergeCell ref="A18:B18"/>
    <mergeCell ref="A19:B19"/>
    <mergeCell ref="A20:B20"/>
    <mergeCell ref="A21:B21"/>
    <mergeCell ref="A22:B22"/>
    <mergeCell ref="A23:B23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Y1"/>
    <mergeCell ref="A2:L2"/>
    <mergeCell ref="A3:B4"/>
    <mergeCell ref="C3:G3"/>
    <mergeCell ref="H3:L3"/>
    <mergeCell ref="A5:B5"/>
    <mergeCell ref="A12:B12"/>
    <mergeCell ref="A13:B13"/>
    <mergeCell ref="A14:B1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topLeftCell="C1" workbookViewId="0">
      <selection activeCell="N1" sqref="N1:V1"/>
    </sheetView>
  </sheetViews>
  <sheetFormatPr defaultColWidth="9.140625" defaultRowHeight="9"/>
  <cols>
    <col min="1" max="1" width="9.85546875" style="122" customWidth="1"/>
    <col min="2" max="2" width="9" style="122" customWidth="1"/>
    <col min="3" max="3" width="9.85546875" style="122" customWidth="1"/>
    <col min="4" max="4" width="3.5703125" style="122" customWidth="1"/>
    <col min="5" max="5" width="9" style="122" customWidth="1"/>
    <col min="6" max="6" width="9.85546875" style="122" customWidth="1"/>
    <col min="7" max="7" width="9" style="122" customWidth="1"/>
    <col min="8" max="8" width="4" style="122" customWidth="1"/>
    <col min="9" max="9" width="9.85546875" style="122" customWidth="1"/>
    <col min="10" max="10" width="9" style="122" customWidth="1"/>
    <col min="11" max="11" width="6.85546875" style="122" customWidth="1"/>
    <col min="12" max="12" width="2.85546875" style="122" customWidth="1"/>
    <col min="13" max="13" width="13" style="122" customWidth="1"/>
    <col min="14" max="14" width="9.140625" style="122"/>
    <col min="15" max="15" width="13.7109375" style="122" bestFit="1" customWidth="1"/>
    <col min="16" max="16" width="11.140625" style="122" bestFit="1" customWidth="1"/>
    <col min="17" max="17" width="11.85546875" style="122" bestFit="1" customWidth="1"/>
    <col min="18" max="16384" width="9.140625" style="122"/>
  </cols>
  <sheetData>
    <row r="1" spans="1:22" ht="48" customHeight="1" thickBot="1">
      <c r="A1" s="270" t="s">
        <v>636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2"/>
      <c r="M1" s="121"/>
      <c r="N1" t="s">
        <v>1046</v>
      </c>
      <c r="O1" t="s">
        <v>1045</v>
      </c>
      <c r="P1" t="s">
        <v>1047</v>
      </c>
      <c r="Q1" t="s">
        <v>1048</v>
      </c>
      <c r="R1" t="s">
        <v>1049</v>
      </c>
      <c r="S1" t="s">
        <v>1050</v>
      </c>
      <c r="T1" t="s">
        <v>1051</v>
      </c>
      <c r="U1" t="s">
        <v>1052</v>
      </c>
      <c r="V1" t="s">
        <v>1053</v>
      </c>
    </row>
    <row r="2" spans="1:22" ht="12" customHeight="1">
      <c r="A2" s="123" t="s">
        <v>637</v>
      </c>
      <c r="B2" s="124" t="s">
        <v>638</v>
      </c>
      <c r="C2" s="125" t="s">
        <v>639</v>
      </c>
      <c r="D2" s="145"/>
      <c r="E2" s="123" t="s">
        <v>637</v>
      </c>
      <c r="F2" s="127" t="s">
        <v>638</v>
      </c>
      <c r="G2" s="125" t="s">
        <v>639</v>
      </c>
      <c r="H2" s="145"/>
      <c r="I2" s="123" t="s">
        <v>637</v>
      </c>
      <c r="J2" s="127" t="s">
        <v>638</v>
      </c>
      <c r="K2" s="273" t="s">
        <v>639</v>
      </c>
      <c r="L2" s="274"/>
      <c r="M2" s="126"/>
    </row>
    <row r="3" spans="1:22" ht="19.5" customHeight="1">
      <c r="A3" s="128" t="s">
        <v>640</v>
      </c>
      <c r="B3" s="129" t="s">
        <v>641</v>
      </c>
      <c r="C3" s="130" t="s">
        <v>642</v>
      </c>
      <c r="D3" s="146"/>
      <c r="E3" s="128" t="s">
        <v>640</v>
      </c>
      <c r="F3" s="129" t="s">
        <v>641</v>
      </c>
      <c r="G3" s="130" t="s">
        <v>642</v>
      </c>
      <c r="H3" s="146"/>
      <c r="I3" s="128" t="s">
        <v>640</v>
      </c>
      <c r="J3" s="129" t="s">
        <v>641</v>
      </c>
      <c r="K3" s="275" t="s">
        <v>642</v>
      </c>
      <c r="L3" s="276"/>
      <c r="M3" s="131"/>
    </row>
    <row r="4" spans="1:22" ht="9.9499999999999993" customHeight="1">
      <c r="A4" s="132">
        <v>75</v>
      </c>
      <c r="B4" s="133" t="s">
        <v>643</v>
      </c>
      <c r="C4" s="134">
        <v>4</v>
      </c>
      <c r="D4" s="145"/>
      <c r="E4" s="132">
        <v>75</v>
      </c>
      <c r="F4" s="129" t="s">
        <v>643</v>
      </c>
      <c r="G4" s="134">
        <v>4</v>
      </c>
      <c r="H4" s="145"/>
      <c r="I4" s="132">
        <v>75</v>
      </c>
      <c r="J4" s="129" t="s">
        <v>643</v>
      </c>
      <c r="K4" s="268">
        <v>4</v>
      </c>
      <c r="L4" s="269"/>
      <c r="M4" s="126"/>
    </row>
    <row r="5" spans="1:22" ht="9.75" customHeight="1">
      <c r="A5" s="132">
        <v>90</v>
      </c>
      <c r="B5" s="133" t="s">
        <v>643</v>
      </c>
      <c r="C5" s="134">
        <v>8</v>
      </c>
      <c r="D5" s="145"/>
      <c r="E5" s="132">
        <v>90</v>
      </c>
      <c r="F5" s="129" t="s">
        <v>643</v>
      </c>
      <c r="G5" s="134">
        <v>8</v>
      </c>
      <c r="H5" s="145"/>
      <c r="I5" s="132">
        <v>90</v>
      </c>
      <c r="J5" s="129" t="s">
        <v>643</v>
      </c>
      <c r="K5" s="268">
        <v>8</v>
      </c>
      <c r="L5" s="269"/>
      <c r="M5" s="126"/>
    </row>
    <row r="6" spans="1:22" ht="9.9499999999999993" customHeight="1">
      <c r="A6" s="132">
        <v>110</v>
      </c>
      <c r="B6" s="133" t="s">
        <v>644</v>
      </c>
      <c r="C6" s="134">
        <v>8</v>
      </c>
      <c r="D6" s="145"/>
      <c r="E6" s="132">
        <v>110</v>
      </c>
      <c r="F6" s="129" t="s">
        <v>645</v>
      </c>
      <c r="G6" s="134">
        <v>8</v>
      </c>
      <c r="H6" s="145"/>
      <c r="I6" s="132">
        <v>110</v>
      </c>
      <c r="J6" s="129" t="s">
        <v>644</v>
      </c>
      <c r="K6" s="268">
        <v>8</v>
      </c>
      <c r="L6" s="269"/>
      <c r="M6" s="126"/>
    </row>
    <row r="7" spans="1:22" ht="9.75" customHeight="1">
      <c r="A7" s="132">
        <v>125</v>
      </c>
      <c r="B7" s="133" t="s">
        <v>644</v>
      </c>
      <c r="C7" s="134">
        <v>8</v>
      </c>
      <c r="D7" s="145"/>
      <c r="E7" s="132">
        <v>125</v>
      </c>
      <c r="F7" s="129" t="s">
        <v>645</v>
      </c>
      <c r="G7" s="134">
        <v>8</v>
      </c>
      <c r="H7" s="145"/>
      <c r="I7" s="132">
        <v>125</v>
      </c>
      <c r="J7" s="129" t="s">
        <v>644</v>
      </c>
      <c r="K7" s="268">
        <v>8</v>
      </c>
      <c r="L7" s="269"/>
      <c r="M7" s="126"/>
    </row>
    <row r="8" spans="1:22" ht="9.9499999999999993" customHeight="1">
      <c r="A8" s="132">
        <v>140</v>
      </c>
      <c r="B8" s="133" t="s">
        <v>645</v>
      </c>
      <c r="C8" s="134">
        <v>8</v>
      </c>
      <c r="D8" s="145"/>
      <c r="E8" s="132">
        <v>140</v>
      </c>
      <c r="F8" s="129" t="s">
        <v>645</v>
      </c>
      <c r="G8" s="134">
        <v>8</v>
      </c>
      <c r="H8" s="145"/>
      <c r="I8" s="132">
        <v>140</v>
      </c>
      <c r="J8" s="129" t="s">
        <v>645</v>
      </c>
      <c r="K8" s="268">
        <v>8</v>
      </c>
      <c r="L8" s="269"/>
      <c r="M8" s="126"/>
    </row>
    <row r="9" spans="1:22" ht="9.75" customHeight="1">
      <c r="A9" s="132">
        <v>160</v>
      </c>
      <c r="B9" s="133" t="s">
        <v>646</v>
      </c>
      <c r="C9" s="134">
        <v>8</v>
      </c>
      <c r="D9" s="145"/>
      <c r="E9" s="132">
        <v>160</v>
      </c>
      <c r="F9" s="129" t="s">
        <v>647</v>
      </c>
      <c r="G9" s="134">
        <v>8</v>
      </c>
      <c r="H9" s="145"/>
      <c r="I9" s="132">
        <v>160</v>
      </c>
      <c r="J9" s="129" t="s">
        <v>648</v>
      </c>
      <c r="K9" s="268">
        <v>8</v>
      </c>
      <c r="L9" s="269"/>
      <c r="M9" s="126"/>
    </row>
    <row r="10" spans="1:22" ht="9.9499999999999993" customHeight="1">
      <c r="A10" s="132">
        <v>180</v>
      </c>
      <c r="B10" s="133" t="s">
        <v>646</v>
      </c>
      <c r="C10" s="134">
        <v>8</v>
      </c>
      <c r="D10" s="145"/>
      <c r="E10" s="132">
        <v>180</v>
      </c>
      <c r="F10" s="129" t="s">
        <v>647</v>
      </c>
      <c r="G10" s="134">
        <v>8</v>
      </c>
      <c r="H10" s="145"/>
      <c r="I10" s="132">
        <v>180</v>
      </c>
      <c r="J10" s="129" t="s">
        <v>648</v>
      </c>
      <c r="K10" s="268">
        <v>8</v>
      </c>
      <c r="L10" s="269"/>
      <c r="M10" s="126"/>
    </row>
    <row r="11" spans="1:22" ht="9.75" customHeight="1">
      <c r="A11" s="132">
        <v>200</v>
      </c>
      <c r="B11" s="133" t="s">
        <v>647</v>
      </c>
      <c r="C11" s="134">
        <v>8</v>
      </c>
      <c r="D11" s="145"/>
      <c r="E11" s="132">
        <v>200</v>
      </c>
      <c r="F11" s="129" t="s">
        <v>649</v>
      </c>
      <c r="G11" s="134">
        <v>8</v>
      </c>
      <c r="H11" s="145"/>
      <c r="I11" s="132">
        <v>200</v>
      </c>
      <c r="J11" s="129" t="s">
        <v>648</v>
      </c>
      <c r="K11" s="268">
        <v>8</v>
      </c>
      <c r="L11" s="269"/>
      <c r="M11" s="126"/>
    </row>
    <row r="12" spans="1:22" ht="9.9499999999999993" customHeight="1">
      <c r="A12" s="132">
        <v>225</v>
      </c>
      <c r="B12" s="133" t="s">
        <v>650</v>
      </c>
      <c r="C12" s="134">
        <v>8</v>
      </c>
      <c r="D12" s="145"/>
      <c r="E12" s="132">
        <v>225</v>
      </c>
      <c r="F12" s="129" t="s">
        <v>651</v>
      </c>
      <c r="G12" s="134">
        <v>8</v>
      </c>
      <c r="H12" s="145"/>
      <c r="I12" s="132">
        <v>225</v>
      </c>
      <c r="J12" s="129" t="s">
        <v>652</v>
      </c>
      <c r="K12" s="268">
        <v>8</v>
      </c>
      <c r="L12" s="269"/>
      <c r="M12" s="126"/>
    </row>
    <row r="13" spans="1:22" ht="9.75" customHeight="1">
      <c r="A13" s="132">
        <v>250</v>
      </c>
      <c r="B13" s="133" t="s">
        <v>650</v>
      </c>
      <c r="C13" s="134">
        <v>12</v>
      </c>
      <c r="D13" s="145"/>
      <c r="E13" s="132">
        <v>250</v>
      </c>
      <c r="F13" s="129" t="s">
        <v>653</v>
      </c>
      <c r="G13" s="134">
        <v>12</v>
      </c>
      <c r="H13" s="145"/>
      <c r="I13" s="132">
        <v>250</v>
      </c>
      <c r="J13" s="129" t="s">
        <v>650</v>
      </c>
      <c r="K13" s="268">
        <v>12</v>
      </c>
      <c r="L13" s="269"/>
      <c r="M13" s="126"/>
    </row>
    <row r="14" spans="1:22" ht="9.9499999999999993" customHeight="1">
      <c r="A14" s="132">
        <v>280</v>
      </c>
      <c r="B14" s="133" t="s">
        <v>650</v>
      </c>
      <c r="C14" s="134">
        <v>12</v>
      </c>
      <c r="D14" s="145"/>
      <c r="E14" s="132">
        <v>280</v>
      </c>
      <c r="F14" s="129" t="s">
        <v>653</v>
      </c>
      <c r="G14" s="134">
        <v>12</v>
      </c>
      <c r="H14" s="145"/>
      <c r="I14" s="132">
        <v>280</v>
      </c>
      <c r="J14" s="129" t="s">
        <v>650</v>
      </c>
      <c r="K14" s="268">
        <v>12</v>
      </c>
      <c r="L14" s="269"/>
      <c r="M14" s="126"/>
    </row>
    <row r="15" spans="1:22" ht="9.75" customHeight="1">
      <c r="A15" s="132">
        <v>315</v>
      </c>
      <c r="B15" s="133" t="s">
        <v>651</v>
      </c>
      <c r="C15" s="134">
        <v>16</v>
      </c>
      <c r="D15" s="145"/>
      <c r="E15" s="132">
        <v>315</v>
      </c>
      <c r="F15" s="129" t="s">
        <v>654</v>
      </c>
      <c r="G15" s="134">
        <v>16</v>
      </c>
      <c r="H15" s="145"/>
      <c r="I15" s="132">
        <v>315</v>
      </c>
      <c r="J15" s="129" t="s">
        <v>651</v>
      </c>
      <c r="K15" s="268">
        <v>16</v>
      </c>
      <c r="L15" s="269"/>
      <c r="M15" s="126"/>
    </row>
    <row r="16" spans="1:22" ht="9.9499999999999993" customHeight="1">
      <c r="A16" s="132">
        <v>355</v>
      </c>
      <c r="B16" s="133" t="s">
        <v>655</v>
      </c>
      <c r="C16" s="134">
        <v>16</v>
      </c>
      <c r="D16" s="145"/>
      <c r="E16" s="132">
        <v>355</v>
      </c>
      <c r="F16" s="129" t="s">
        <v>656</v>
      </c>
      <c r="G16" s="134">
        <v>16</v>
      </c>
      <c r="H16" s="145"/>
      <c r="I16" s="132">
        <v>355</v>
      </c>
      <c r="J16" s="129" t="s">
        <v>655</v>
      </c>
      <c r="K16" s="268">
        <v>16</v>
      </c>
      <c r="L16" s="269"/>
      <c r="M16" s="126"/>
    </row>
    <row r="17" spans="1:13" ht="9.75" customHeight="1">
      <c r="A17" s="132">
        <v>400</v>
      </c>
      <c r="B17" s="133" t="s">
        <v>655</v>
      </c>
      <c r="C17" s="134">
        <v>16</v>
      </c>
      <c r="D17" s="145"/>
      <c r="E17" s="132">
        <v>400</v>
      </c>
      <c r="F17" s="129" t="s">
        <v>657</v>
      </c>
      <c r="G17" s="134">
        <v>16</v>
      </c>
      <c r="H17" s="145"/>
      <c r="I17" s="132">
        <v>400</v>
      </c>
      <c r="J17" s="129" t="s">
        <v>655</v>
      </c>
      <c r="K17" s="268">
        <v>16</v>
      </c>
      <c r="L17" s="269"/>
      <c r="M17" s="126"/>
    </row>
    <row r="18" spans="1:13" ht="9.9499999999999993" customHeight="1">
      <c r="A18" s="132">
        <v>450</v>
      </c>
      <c r="B18" s="133" t="s">
        <v>658</v>
      </c>
      <c r="C18" s="134">
        <v>20</v>
      </c>
      <c r="D18" s="145"/>
      <c r="E18" s="132">
        <v>450</v>
      </c>
      <c r="F18" s="129" t="s">
        <v>659</v>
      </c>
      <c r="G18" s="134">
        <v>20</v>
      </c>
      <c r="H18" s="145"/>
      <c r="I18" s="132">
        <v>450</v>
      </c>
      <c r="J18" s="129" t="s">
        <v>658</v>
      </c>
      <c r="K18" s="268">
        <v>20</v>
      </c>
      <c r="L18" s="269"/>
      <c r="M18" s="126"/>
    </row>
    <row r="19" spans="1:13" ht="9.75" customHeight="1">
      <c r="A19" s="132">
        <v>500</v>
      </c>
      <c r="B19" s="133" t="s">
        <v>658</v>
      </c>
      <c r="C19" s="134">
        <v>20</v>
      </c>
      <c r="D19" s="145"/>
      <c r="E19" s="132">
        <v>500</v>
      </c>
      <c r="F19" s="129" t="s">
        <v>660</v>
      </c>
      <c r="G19" s="134">
        <v>20</v>
      </c>
      <c r="H19" s="145"/>
      <c r="I19" s="132">
        <v>500</v>
      </c>
      <c r="J19" s="129" t="s">
        <v>658</v>
      </c>
      <c r="K19" s="268">
        <v>20</v>
      </c>
      <c r="L19" s="269"/>
      <c r="M19" s="126"/>
    </row>
    <row r="20" spans="1:13" ht="9.9499999999999993" customHeight="1">
      <c r="A20" s="132">
        <v>560</v>
      </c>
      <c r="B20" s="133" t="s">
        <v>657</v>
      </c>
      <c r="C20" s="134">
        <v>20</v>
      </c>
      <c r="D20" s="145"/>
      <c r="E20" s="132">
        <v>560</v>
      </c>
      <c r="F20" s="129" t="s">
        <v>661</v>
      </c>
      <c r="G20" s="134">
        <v>20</v>
      </c>
      <c r="H20" s="145"/>
      <c r="I20" s="132">
        <v>560</v>
      </c>
      <c r="J20" s="129" t="s">
        <v>659</v>
      </c>
      <c r="K20" s="268">
        <v>20</v>
      </c>
      <c r="L20" s="269"/>
      <c r="M20" s="126"/>
    </row>
    <row r="21" spans="1:13" ht="9.75" customHeight="1" thickBot="1">
      <c r="A21" s="135">
        <v>630</v>
      </c>
      <c r="B21" s="136" t="s">
        <v>659</v>
      </c>
      <c r="C21" s="137">
        <v>20</v>
      </c>
      <c r="D21" s="145"/>
      <c r="E21" s="135">
        <v>630</v>
      </c>
      <c r="F21" s="138" t="s">
        <v>661</v>
      </c>
      <c r="G21" s="137">
        <v>20</v>
      </c>
      <c r="H21" s="145"/>
      <c r="I21" s="135">
        <v>630</v>
      </c>
      <c r="J21" s="138" t="s">
        <v>659</v>
      </c>
      <c r="K21" s="277">
        <v>20</v>
      </c>
      <c r="L21" s="278"/>
      <c r="M21" s="126"/>
    </row>
    <row r="22" spans="1:13" ht="9.75" customHeight="1" thickBot="1">
      <c r="A22" s="147"/>
      <c r="B22" s="148"/>
      <c r="C22" s="149"/>
      <c r="D22" s="145"/>
      <c r="E22" s="149"/>
      <c r="F22" s="150"/>
      <c r="G22" s="149"/>
      <c r="H22" s="145"/>
      <c r="I22" s="149"/>
      <c r="J22" s="150"/>
      <c r="K22" s="149"/>
      <c r="L22" s="151"/>
      <c r="M22" s="126"/>
    </row>
    <row r="23" spans="1:13" ht="28.5" customHeight="1" thickBot="1">
      <c r="A23" s="279" t="s">
        <v>662</v>
      </c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1"/>
      <c r="M23" s="142"/>
    </row>
    <row r="24" spans="1:13" ht="10.5" customHeight="1">
      <c r="A24" s="282" t="s">
        <v>663</v>
      </c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4"/>
      <c r="M24" s="121"/>
    </row>
    <row r="25" spans="1:13" ht="12" customHeight="1">
      <c r="A25" s="128" t="s">
        <v>637</v>
      </c>
      <c r="B25" s="133" t="s">
        <v>638</v>
      </c>
      <c r="C25" s="143" t="s">
        <v>639</v>
      </c>
      <c r="D25" s="145"/>
      <c r="E25" s="133" t="s">
        <v>637</v>
      </c>
      <c r="F25" s="129" t="s">
        <v>638</v>
      </c>
      <c r="G25" s="143" t="s">
        <v>639</v>
      </c>
      <c r="H25" s="145"/>
      <c r="I25" s="133" t="s">
        <v>637</v>
      </c>
      <c r="J25" s="129" t="s">
        <v>638</v>
      </c>
      <c r="K25" s="285" t="s">
        <v>639</v>
      </c>
      <c r="L25" s="286"/>
      <c r="M25" s="126"/>
    </row>
    <row r="26" spans="1:13" ht="9.9499999999999993" customHeight="1">
      <c r="A26" s="132">
        <v>50</v>
      </c>
      <c r="B26" s="133" t="s">
        <v>664</v>
      </c>
      <c r="C26" s="144">
        <v>4</v>
      </c>
      <c r="D26" s="145"/>
      <c r="E26" s="144">
        <v>50</v>
      </c>
      <c r="F26" s="129" t="s">
        <v>664</v>
      </c>
      <c r="G26" s="144">
        <v>4</v>
      </c>
      <c r="H26" s="145"/>
      <c r="I26" s="144">
        <v>50</v>
      </c>
      <c r="J26" s="129" t="s">
        <v>664</v>
      </c>
      <c r="K26" s="268">
        <v>4</v>
      </c>
      <c r="L26" s="269"/>
      <c r="M26" s="126"/>
    </row>
    <row r="27" spans="1:13" ht="9.75" customHeight="1">
      <c r="A27" s="132">
        <v>63</v>
      </c>
      <c r="B27" s="133" t="s">
        <v>665</v>
      </c>
      <c r="C27" s="144">
        <v>4</v>
      </c>
      <c r="D27" s="145"/>
      <c r="E27" s="144">
        <v>63</v>
      </c>
      <c r="F27" s="129" t="s">
        <v>665</v>
      </c>
      <c r="G27" s="144">
        <v>4</v>
      </c>
      <c r="H27" s="145"/>
      <c r="I27" s="144">
        <v>63</v>
      </c>
      <c r="J27" s="129" t="s">
        <v>664</v>
      </c>
      <c r="K27" s="268">
        <v>4</v>
      </c>
      <c r="L27" s="269"/>
      <c r="M27" s="126"/>
    </row>
    <row r="28" spans="1:13" ht="9.9499999999999993" customHeight="1">
      <c r="A28" s="132">
        <v>75</v>
      </c>
      <c r="B28" s="133" t="s">
        <v>665</v>
      </c>
      <c r="C28" s="144">
        <v>4</v>
      </c>
      <c r="D28" s="145"/>
      <c r="E28" s="144">
        <v>75</v>
      </c>
      <c r="F28" s="129" t="s">
        <v>665</v>
      </c>
      <c r="G28" s="144">
        <v>4</v>
      </c>
      <c r="H28" s="145"/>
      <c r="I28" s="144">
        <v>75</v>
      </c>
      <c r="J28" s="129" t="s">
        <v>664</v>
      </c>
      <c r="K28" s="268">
        <v>4</v>
      </c>
      <c r="L28" s="269"/>
      <c r="M28" s="126"/>
    </row>
    <row r="29" spans="1:13" ht="9.75" customHeight="1">
      <c r="A29" s="132">
        <v>90</v>
      </c>
      <c r="B29" s="133" t="s">
        <v>665</v>
      </c>
      <c r="C29" s="144">
        <v>8</v>
      </c>
      <c r="D29" s="145"/>
      <c r="E29" s="144">
        <v>90</v>
      </c>
      <c r="F29" s="129" t="s">
        <v>665</v>
      </c>
      <c r="G29" s="144">
        <v>8</v>
      </c>
      <c r="H29" s="145"/>
      <c r="I29" s="144">
        <v>90</v>
      </c>
      <c r="J29" s="129" t="s">
        <v>664</v>
      </c>
      <c r="K29" s="268">
        <v>8</v>
      </c>
      <c r="L29" s="269"/>
      <c r="M29" s="126"/>
    </row>
    <row r="30" spans="1:13" ht="9.9499999999999993" customHeight="1">
      <c r="A30" s="132">
        <v>110</v>
      </c>
      <c r="B30" s="133" t="s">
        <v>666</v>
      </c>
      <c r="C30" s="144">
        <v>8</v>
      </c>
      <c r="D30" s="145"/>
      <c r="E30" s="144">
        <v>110</v>
      </c>
      <c r="F30" s="129" t="s">
        <v>643</v>
      </c>
      <c r="G30" s="144">
        <v>8</v>
      </c>
      <c r="H30" s="145"/>
      <c r="I30" s="144">
        <v>110</v>
      </c>
      <c r="J30" s="129" t="s">
        <v>665</v>
      </c>
      <c r="K30" s="268">
        <v>8</v>
      </c>
      <c r="L30" s="269"/>
      <c r="M30" s="126"/>
    </row>
    <row r="31" spans="1:13" ht="9.75" customHeight="1">
      <c r="A31" s="132">
        <v>125</v>
      </c>
      <c r="B31" s="133" t="s">
        <v>666</v>
      </c>
      <c r="C31" s="144">
        <v>8</v>
      </c>
      <c r="D31" s="145"/>
      <c r="E31" s="144">
        <v>125</v>
      </c>
      <c r="F31" s="129" t="s">
        <v>643</v>
      </c>
      <c r="G31" s="144">
        <v>8</v>
      </c>
      <c r="H31" s="145"/>
      <c r="I31" s="144">
        <v>125</v>
      </c>
      <c r="J31" s="129" t="s">
        <v>665</v>
      </c>
      <c r="K31" s="268">
        <v>8</v>
      </c>
      <c r="L31" s="269"/>
      <c r="M31" s="126"/>
    </row>
    <row r="32" spans="1:13" ht="9.9499999999999993" customHeight="1">
      <c r="A32" s="132">
        <v>140</v>
      </c>
      <c r="B32" s="133" t="s">
        <v>643</v>
      </c>
      <c r="C32" s="144">
        <v>8</v>
      </c>
      <c r="D32" s="145"/>
      <c r="E32" s="144">
        <v>140</v>
      </c>
      <c r="F32" s="129" t="s">
        <v>643</v>
      </c>
      <c r="G32" s="144">
        <v>8</v>
      </c>
      <c r="H32" s="145"/>
      <c r="I32" s="144">
        <v>140</v>
      </c>
      <c r="J32" s="129" t="s">
        <v>666</v>
      </c>
      <c r="K32" s="268">
        <v>8</v>
      </c>
      <c r="L32" s="269"/>
      <c r="M32" s="126"/>
    </row>
    <row r="33" spans="1:13" ht="9.75" customHeight="1">
      <c r="A33" s="132">
        <v>160</v>
      </c>
      <c r="B33" s="133" t="s">
        <v>667</v>
      </c>
      <c r="C33" s="144">
        <v>8</v>
      </c>
      <c r="D33" s="145"/>
      <c r="E33" s="144">
        <v>160</v>
      </c>
      <c r="F33" s="129" t="s">
        <v>668</v>
      </c>
      <c r="G33" s="144">
        <v>8</v>
      </c>
      <c r="H33" s="145"/>
      <c r="I33" s="144">
        <v>160</v>
      </c>
      <c r="J33" s="129" t="s">
        <v>644</v>
      </c>
      <c r="K33" s="268">
        <v>8</v>
      </c>
      <c r="L33" s="269"/>
      <c r="M33" s="126"/>
    </row>
    <row r="34" spans="1:13" ht="9.9499999999999993" customHeight="1">
      <c r="A34" s="132">
        <v>180</v>
      </c>
      <c r="B34" s="133" t="s">
        <v>667</v>
      </c>
      <c r="C34" s="144">
        <v>8</v>
      </c>
      <c r="D34" s="145"/>
      <c r="E34" s="144">
        <v>180</v>
      </c>
      <c r="F34" s="129" t="s">
        <v>668</v>
      </c>
      <c r="G34" s="144">
        <v>8</v>
      </c>
      <c r="H34" s="145"/>
      <c r="I34" s="144">
        <v>180</v>
      </c>
      <c r="J34" s="129" t="s">
        <v>644</v>
      </c>
      <c r="K34" s="268">
        <v>8</v>
      </c>
      <c r="L34" s="269"/>
      <c r="M34" s="126"/>
    </row>
    <row r="35" spans="1:13" ht="9.75" customHeight="1">
      <c r="A35" s="132">
        <v>200</v>
      </c>
      <c r="B35" s="133" t="s">
        <v>668</v>
      </c>
      <c r="C35" s="144">
        <v>8</v>
      </c>
      <c r="D35" s="145"/>
      <c r="E35" s="144">
        <v>200</v>
      </c>
      <c r="F35" s="129" t="s">
        <v>669</v>
      </c>
      <c r="G35" s="144">
        <v>8</v>
      </c>
      <c r="H35" s="145"/>
      <c r="I35" s="144">
        <v>200</v>
      </c>
      <c r="J35" s="129" t="s">
        <v>644</v>
      </c>
      <c r="K35" s="268">
        <v>8</v>
      </c>
      <c r="L35" s="269"/>
      <c r="M35" s="126"/>
    </row>
    <row r="36" spans="1:13" ht="9.9499999999999993" customHeight="1">
      <c r="A36" s="132">
        <v>225</v>
      </c>
      <c r="B36" s="133" t="s">
        <v>669</v>
      </c>
      <c r="C36" s="144">
        <v>8</v>
      </c>
      <c r="D36" s="145"/>
      <c r="E36" s="144">
        <v>225</v>
      </c>
      <c r="F36" s="129" t="s">
        <v>646</v>
      </c>
      <c r="G36" s="144">
        <v>8</v>
      </c>
      <c r="H36" s="145"/>
      <c r="I36" s="144">
        <v>225</v>
      </c>
      <c r="J36" s="129" t="s">
        <v>645</v>
      </c>
      <c r="K36" s="268">
        <v>8</v>
      </c>
      <c r="L36" s="269"/>
      <c r="M36" s="126"/>
    </row>
    <row r="37" spans="1:13" ht="9.75" customHeight="1">
      <c r="A37" s="132">
        <v>250</v>
      </c>
      <c r="B37" s="133" t="s">
        <v>669</v>
      </c>
      <c r="C37" s="144">
        <v>12</v>
      </c>
      <c r="D37" s="145"/>
      <c r="E37" s="144">
        <v>250</v>
      </c>
      <c r="F37" s="129" t="s">
        <v>670</v>
      </c>
      <c r="G37" s="144">
        <v>12</v>
      </c>
      <c r="H37" s="145"/>
      <c r="I37" s="144">
        <v>250</v>
      </c>
      <c r="J37" s="129" t="s">
        <v>669</v>
      </c>
      <c r="K37" s="268">
        <v>12</v>
      </c>
      <c r="L37" s="269"/>
      <c r="M37" s="126"/>
    </row>
    <row r="38" spans="1:13" ht="9.9499999999999993" customHeight="1">
      <c r="A38" s="132">
        <v>280</v>
      </c>
      <c r="B38" s="133" t="s">
        <v>669</v>
      </c>
      <c r="C38" s="144">
        <v>12</v>
      </c>
      <c r="D38" s="145"/>
      <c r="E38" s="144">
        <v>280</v>
      </c>
      <c r="F38" s="129" t="s">
        <v>670</v>
      </c>
      <c r="G38" s="144">
        <v>12</v>
      </c>
      <c r="H38" s="145"/>
      <c r="I38" s="144">
        <v>280</v>
      </c>
      <c r="J38" s="129" t="s">
        <v>669</v>
      </c>
      <c r="K38" s="268">
        <v>12</v>
      </c>
      <c r="L38" s="269"/>
      <c r="M38" s="126"/>
    </row>
    <row r="39" spans="1:13" ht="9.75" customHeight="1">
      <c r="A39" s="132">
        <v>315</v>
      </c>
      <c r="B39" s="133" t="s">
        <v>646</v>
      </c>
      <c r="C39" s="144">
        <v>16</v>
      </c>
      <c r="D39" s="145"/>
      <c r="E39" s="144">
        <v>315</v>
      </c>
      <c r="F39" s="129" t="s">
        <v>671</v>
      </c>
      <c r="G39" s="144">
        <v>16</v>
      </c>
      <c r="H39" s="145"/>
      <c r="I39" s="144">
        <v>315</v>
      </c>
      <c r="J39" s="129" t="s">
        <v>646</v>
      </c>
      <c r="K39" s="268">
        <v>16</v>
      </c>
      <c r="L39" s="269"/>
      <c r="M39" s="126"/>
    </row>
    <row r="40" spans="1:13" ht="9.9499999999999993" customHeight="1">
      <c r="A40" s="132">
        <v>355</v>
      </c>
      <c r="B40" s="133" t="s">
        <v>647</v>
      </c>
      <c r="C40" s="144">
        <v>16</v>
      </c>
      <c r="D40" s="145"/>
      <c r="E40" s="144">
        <v>355</v>
      </c>
      <c r="F40" s="129" t="s">
        <v>672</v>
      </c>
      <c r="G40" s="144">
        <v>16</v>
      </c>
      <c r="H40" s="145"/>
      <c r="I40" s="144">
        <v>355</v>
      </c>
      <c r="J40" s="129" t="s">
        <v>647</v>
      </c>
      <c r="K40" s="268">
        <v>16</v>
      </c>
      <c r="L40" s="269"/>
      <c r="M40" s="126"/>
    </row>
    <row r="41" spans="1:13" ht="9.75" customHeight="1">
      <c r="A41" s="132">
        <v>400</v>
      </c>
      <c r="B41" s="133" t="s">
        <v>647</v>
      </c>
      <c r="C41" s="144">
        <v>16</v>
      </c>
      <c r="D41" s="145"/>
      <c r="E41" s="144">
        <v>400</v>
      </c>
      <c r="F41" s="129" t="s">
        <v>653</v>
      </c>
      <c r="G41" s="144">
        <v>16</v>
      </c>
      <c r="H41" s="145"/>
      <c r="I41" s="144">
        <v>400</v>
      </c>
      <c r="J41" s="129" t="s">
        <v>647</v>
      </c>
      <c r="K41" s="268">
        <v>16</v>
      </c>
      <c r="L41" s="269"/>
      <c r="M41" s="126"/>
    </row>
    <row r="42" spans="1:13" ht="9.9499999999999993" customHeight="1">
      <c r="A42" s="132">
        <v>450</v>
      </c>
      <c r="B42" s="133" t="s">
        <v>650</v>
      </c>
      <c r="C42" s="144">
        <v>20</v>
      </c>
      <c r="D42" s="145"/>
      <c r="E42" s="144">
        <v>450</v>
      </c>
      <c r="F42" s="129" t="s">
        <v>654</v>
      </c>
      <c r="G42" s="144">
        <v>20</v>
      </c>
      <c r="H42" s="145"/>
      <c r="I42" s="144">
        <v>450</v>
      </c>
      <c r="J42" s="129" t="s">
        <v>650</v>
      </c>
      <c r="K42" s="268">
        <v>20</v>
      </c>
      <c r="L42" s="269"/>
      <c r="M42" s="126"/>
    </row>
    <row r="43" spans="1:13" ht="9.75" customHeight="1">
      <c r="A43" s="132">
        <v>500</v>
      </c>
      <c r="B43" s="133" t="s">
        <v>651</v>
      </c>
      <c r="C43" s="144">
        <v>20</v>
      </c>
      <c r="D43" s="145"/>
      <c r="E43" s="144">
        <v>500</v>
      </c>
      <c r="F43" s="129" t="s">
        <v>673</v>
      </c>
      <c r="G43" s="144">
        <v>20</v>
      </c>
      <c r="H43" s="145"/>
      <c r="I43" s="144">
        <v>500</v>
      </c>
      <c r="J43" s="129" t="s">
        <v>651</v>
      </c>
      <c r="K43" s="268">
        <v>20</v>
      </c>
      <c r="L43" s="269"/>
      <c r="M43" s="126"/>
    </row>
    <row r="44" spans="1:13" ht="9.9499999999999993" customHeight="1">
      <c r="A44" s="132">
        <v>560</v>
      </c>
      <c r="B44" s="133" t="s">
        <v>653</v>
      </c>
      <c r="C44" s="144">
        <v>20</v>
      </c>
      <c r="D44" s="145"/>
      <c r="E44" s="144">
        <v>560</v>
      </c>
      <c r="F44" s="129" t="s">
        <v>674</v>
      </c>
      <c r="G44" s="144">
        <v>20</v>
      </c>
      <c r="H44" s="145"/>
      <c r="I44" s="144">
        <v>560</v>
      </c>
      <c r="J44" s="129" t="s">
        <v>653</v>
      </c>
      <c r="K44" s="268">
        <v>20</v>
      </c>
      <c r="L44" s="269"/>
      <c r="M44" s="126"/>
    </row>
    <row r="45" spans="1:13" ht="9.75" customHeight="1" thickBot="1">
      <c r="A45" s="132">
        <v>630</v>
      </c>
      <c r="B45" s="133" t="s">
        <v>653</v>
      </c>
      <c r="C45" s="144">
        <v>20</v>
      </c>
      <c r="D45" s="145"/>
      <c r="E45" s="144">
        <v>630</v>
      </c>
      <c r="F45" s="129" t="s">
        <v>674</v>
      </c>
      <c r="G45" s="144">
        <v>20</v>
      </c>
      <c r="H45" s="145"/>
      <c r="I45" s="144">
        <v>630</v>
      </c>
      <c r="J45" s="129" t="s">
        <v>653</v>
      </c>
      <c r="K45" s="268">
        <v>20</v>
      </c>
      <c r="L45" s="269"/>
      <c r="M45" s="126"/>
    </row>
    <row r="46" spans="1:13" ht="28.5" customHeight="1" thickBot="1">
      <c r="A46" s="279" t="s">
        <v>662</v>
      </c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1"/>
      <c r="M46" s="142"/>
    </row>
    <row r="47" spans="1:13" ht="12" customHeight="1">
      <c r="A47" s="287" t="s">
        <v>675</v>
      </c>
      <c r="B47" s="288"/>
      <c r="C47" s="288"/>
      <c r="D47" s="288"/>
      <c r="E47" s="288" t="s">
        <v>675</v>
      </c>
      <c r="F47" s="288"/>
      <c r="G47" s="288"/>
      <c r="H47" s="288"/>
      <c r="I47" s="289" t="s">
        <v>676</v>
      </c>
      <c r="J47" s="289"/>
      <c r="K47" s="289"/>
      <c r="L47" s="290"/>
      <c r="M47" s="126"/>
    </row>
    <row r="48" spans="1:13" ht="12" customHeight="1">
      <c r="A48" s="128" t="s">
        <v>677</v>
      </c>
      <c r="B48" s="133" t="s">
        <v>638</v>
      </c>
      <c r="C48" s="143" t="s">
        <v>639</v>
      </c>
      <c r="D48" s="145"/>
      <c r="E48" s="133" t="s">
        <v>677</v>
      </c>
      <c r="F48" s="129" t="s">
        <v>638</v>
      </c>
      <c r="G48" s="143" t="s">
        <v>639</v>
      </c>
      <c r="H48" s="145"/>
      <c r="I48" s="133" t="s">
        <v>677</v>
      </c>
      <c r="J48" s="129" t="s">
        <v>638</v>
      </c>
      <c r="K48" s="285" t="s">
        <v>639</v>
      </c>
      <c r="L48" s="286"/>
      <c r="M48" s="126"/>
    </row>
    <row r="49" spans="1:13" ht="9.9499999999999993" customHeight="1">
      <c r="A49" s="132">
        <v>50</v>
      </c>
      <c r="B49" s="133" t="s">
        <v>678</v>
      </c>
      <c r="C49" s="144">
        <v>4</v>
      </c>
      <c r="D49" s="145"/>
      <c r="E49" s="144">
        <v>50</v>
      </c>
      <c r="F49" s="129" t="s">
        <v>678</v>
      </c>
      <c r="G49" s="144">
        <v>4</v>
      </c>
      <c r="H49" s="145"/>
      <c r="I49" s="144">
        <v>50</v>
      </c>
      <c r="J49" s="129" t="s">
        <v>678</v>
      </c>
      <c r="K49" s="268">
        <v>4</v>
      </c>
      <c r="L49" s="269"/>
      <c r="M49" s="126"/>
    </row>
    <row r="50" spans="1:13" ht="9.75" customHeight="1">
      <c r="A50" s="132">
        <v>65</v>
      </c>
      <c r="B50" s="133" t="s">
        <v>679</v>
      </c>
      <c r="C50" s="144">
        <v>4</v>
      </c>
      <c r="D50" s="145"/>
      <c r="E50" s="144">
        <v>65</v>
      </c>
      <c r="F50" s="129" t="s">
        <v>679</v>
      </c>
      <c r="G50" s="144">
        <v>4</v>
      </c>
      <c r="H50" s="145"/>
      <c r="I50" s="144">
        <v>65</v>
      </c>
      <c r="J50" s="129" t="s">
        <v>678</v>
      </c>
      <c r="K50" s="268">
        <v>4</v>
      </c>
      <c r="L50" s="269"/>
      <c r="M50" s="126"/>
    </row>
    <row r="51" spans="1:13" ht="9.9499999999999993" customHeight="1">
      <c r="A51" s="132">
        <v>80</v>
      </c>
      <c r="B51" s="133" t="s">
        <v>679</v>
      </c>
      <c r="C51" s="144">
        <v>8</v>
      </c>
      <c r="D51" s="145"/>
      <c r="E51" s="144">
        <v>80</v>
      </c>
      <c r="F51" s="129" t="s">
        <v>679</v>
      </c>
      <c r="G51" s="144">
        <v>8</v>
      </c>
      <c r="H51" s="145"/>
      <c r="I51" s="144">
        <v>80</v>
      </c>
      <c r="J51" s="129" t="s">
        <v>678</v>
      </c>
      <c r="K51" s="268">
        <v>8</v>
      </c>
      <c r="L51" s="269"/>
      <c r="M51" s="126"/>
    </row>
    <row r="52" spans="1:13" ht="9.75" customHeight="1">
      <c r="A52" s="132">
        <v>100</v>
      </c>
      <c r="B52" s="133" t="s">
        <v>679</v>
      </c>
      <c r="C52" s="144">
        <v>8</v>
      </c>
      <c r="D52" s="145"/>
      <c r="E52" s="144">
        <v>100</v>
      </c>
      <c r="F52" s="129" t="s">
        <v>679</v>
      </c>
      <c r="G52" s="144">
        <v>8</v>
      </c>
      <c r="H52" s="145"/>
      <c r="I52" s="144">
        <v>100</v>
      </c>
      <c r="J52" s="129" t="s">
        <v>678</v>
      </c>
      <c r="K52" s="268">
        <v>8</v>
      </c>
      <c r="L52" s="269"/>
      <c r="M52" s="126"/>
    </row>
    <row r="53" spans="1:13" ht="9.9499999999999993" customHeight="1">
      <c r="A53" s="132">
        <v>100</v>
      </c>
      <c r="B53" s="133" t="s">
        <v>679</v>
      </c>
      <c r="C53" s="144">
        <v>8</v>
      </c>
      <c r="D53" s="145"/>
      <c r="E53" s="144">
        <v>100</v>
      </c>
      <c r="F53" s="129" t="s">
        <v>679</v>
      </c>
      <c r="G53" s="144">
        <v>8</v>
      </c>
      <c r="H53" s="145"/>
      <c r="I53" s="144">
        <v>100</v>
      </c>
      <c r="J53" s="129" t="s">
        <v>678</v>
      </c>
      <c r="K53" s="268">
        <v>8</v>
      </c>
      <c r="L53" s="269"/>
      <c r="M53" s="126"/>
    </row>
    <row r="54" spans="1:13" ht="9.75" customHeight="1">
      <c r="A54" s="132">
        <v>125</v>
      </c>
      <c r="B54" s="133" t="s">
        <v>679</v>
      </c>
      <c r="C54" s="144">
        <v>8</v>
      </c>
      <c r="D54" s="145"/>
      <c r="E54" s="144">
        <v>125</v>
      </c>
      <c r="F54" s="129" t="s">
        <v>680</v>
      </c>
      <c r="G54" s="144">
        <v>8</v>
      </c>
      <c r="H54" s="145"/>
      <c r="I54" s="144">
        <v>125</v>
      </c>
      <c r="J54" s="129" t="s">
        <v>679</v>
      </c>
      <c r="K54" s="268">
        <v>8</v>
      </c>
      <c r="L54" s="269"/>
      <c r="M54" s="126"/>
    </row>
    <row r="55" spans="1:13" ht="9.9499999999999993" customHeight="1">
      <c r="A55" s="132">
        <v>150</v>
      </c>
      <c r="B55" s="133" t="s">
        <v>681</v>
      </c>
      <c r="C55" s="144">
        <v>8</v>
      </c>
      <c r="D55" s="145"/>
      <c r="E55" s="144">
        <v>150</v>
      </c>
      <c r="F55" s="129" t="s">
        <v>682</v>
      </c>
      <c r="G55" s="144">
        <v>8</v>
      </c>
      <c r="H55" s="145"/>
      <c r="I55" s="144">
        <v>150</v>
      </c>
      <c r="J55" s="129" t="s">
        <v>680</v>
      </c>
      <c r="K55" s="268">
        <v>8</v>
      </c>
      <c r="L55" s="269"/>
      <c r="M55" s="126"/>
    </row>
    <row r="56" spans="1:13" ht="9.75" customHeight="1">
      <c r="A56" s="132">
        <v>150</v>
      </c>
      <c r="B56" s="133" t="s">
        <v>681</v>
      </c>
      <c r="C56" s="144">
        <v>8</v>
      </c>
      <c r="D56" s="145"/>
      <c r="E56" s="144">
        <v>150</v>
      </c>
      <c r="F56" s="129" t="s">
        <v>682</v>
      </c>
      <c r="G56" s="144">
        <v>8</v>
      </c>
      <c r="H56" s="145"/>
      <c r="I56" s="144">
        <v>150</v>
      </c>
      <c r="J56" s="129" t="s">
        <v>680</v>
      </c>
      <c r="K56" s="268">
        <v>8</v>
      </c>
      <c r="L56" s="269"/>
      <c r="M56" s="126"/>
    </row>
    <row r="57" spans="1:13" ht="9.9499999999999993" customHeight="1">
      <c r="A57" s="132">
        <v>200</v>
      </c>
      <c r="B57" s="133" t="s">
        <v>682</v>
      </c>
      <c r="C57" s="144">
        <v>8</v>
      </c>
      <c r="D57" s="145"/>
      <c r="E57" s="144">
        <v>200</v>
      </c>
      <c r="F57" s="129" t="s">
        <v>683</v>
      </c>
      <c r="G57" s="144">
        <v>8</v>
      </c>
      <c r="H57" s="145"/>
      <c r="I57" s="144">
        <v>200</v>
      </c>
      <c r="J57" s="129" t="s">
        <v>680</v>
      </c>
      <c r="K57" s="268">
        <v>8</v>
      </c>
      <c r="L57" s="269"/>
      <c r="M57" s="126"/>
    </row>
    <row r="58" spans="1:13" ht="9.75" customHeight="1">
      <c r="A58" s="132">
        <v>200</v>
      </c>
      <c r="B58" s="133" t="s">
        <v>682</v>
      </c>
      <c r="C58" s="144">
        <v>8</v>
      </c>
      <c r="D58" s="145"/>
      <c r="E58" s="144">
        <v>200</v>
      </c>
      <c r="F58" s="129" t="s">
        <v>683</v>
      </c>
      <c r="G58" s="144">
        <v>8</v>
      </c>
      <c r="H58" s="145"/>
      <c r="I58" s="144">
        <v>200</v>
      </c>
      <c r="J58" s="129" t="s">
        <v>680</v>
      </c>
      <c r="K58" s="268">
        <v>8</v>
      </c>
      <c r="L58" s="269"/>
      <c r="M58" s="126"/>
    </row>
    <row r="59" spans="1:13" ht="9.9499999999999993" customHeight="1">
      <c r="A59" s="132">
        <v>250</v>
      </c>
      <c r="B59" s="133" t="s">
        <v>684</v>
      </c>
      <c r="C59" s="144">
        <v>12</v>
      </c>
      <c r="D59" s="145"/>
      <c r="E59" s="144">
        <v>250</v>
      </c>
      <c r="F59" s="129" t="s">
        <v>685</v>
      </c>
      <c r="G59" s="144">
        <v>12</v>
      </c>
      <c r="H59" s="145"/>
      <c r="I59" s="144">
        <v>250</v>
      </c>
      <c r="J59" s="129" t="s">
        <v>682</v>
      </c>
      <c r="K59" s="268">
        <v>12</v>
      </c>
      <c r="L59" s="269"/>
      <c r="M59" s="126"/>
    </row>
    <row r="60" spans="1:13" ht="9.75" customHeight="1">
      <c r="A60" s="132">
        <v>250</v>
      </c>
      <c r="B60" s="133" t="s">
        <v>684</v>
      </c>
      <c r="C60" s="144">
        <v>12</v>
      </c>
      <c r="D60" s="145"/>
      <c r="E60" s="144">
        <v>250</v>
      </c>
      <c r="F60" s="129" t="s">
        <v>685</v>
      </c>
      <c r="G60" s="144">
        <v>12</v>
      </c>
      <c r="H60" s="145"/>
      <c r="I60" s="144">
        <v>250</v>
      </c>
      <c r="J60" s="129" t="s">
        <v>682</v>
      </c>
      <c r="K60" s="268">
        <v>12</v>
      </c>
      <c r="L60" s="269"/>
      <c r="M60" s="126"/>
    </row>
    <row r="61" spans="1:13" ht="9.9499999999999993" customHeight="1">
      <c r="A61" s="132">
        <v>300</v>
      </c>
      <c r="B61" s="133" t="s">
        <v>683</v>
      </c>
      <c r="C61" s="144">
        <v>16</v>
      </c>
      <c r="D61" s="145"/>
      <c r="E61" s="144">
        <v>300</v>
      </c>
      <c r="F61" s="129" t="s">
        <v>686</v>
      </c>
      <c r="G61" s="144">
        <v>16</v>
      </c>
      <c r="H61" s="145"/>
      <c r="I61" s="144">
        <v>300</v>
      </c>
      <c r="J61" s="129" t="s">
        <v>683</v>
      </c>
      <c r="K61" s="268">
        <v>16</v>
      </c>
      <c r="L61" s="269"/>
      <c r="M61" s="126"/>
    </row>
    <row r="62" spans="1:13" ht="9.75" customHeight="1">
      <c r="A62" s="132">
        <v>350</v>
      </c>
      <c r="B62" s="133" t="s">
        <v>687</v>
      </c>
      <c r="C62" s="144">
        <v>16</v>
      </c>
      <c r="D62" s="145"/>
      <c r="E62" s="144">
        <v>350</v>
      </c>
      <c r="F62" s="129" t="s">
        <v>686</v>
      </c>
      <c r="G62" s="144">
        <v>16</v>
      </c>
      <c r="H62" s="145"/>
      <c r="I62" s="144">
        <v>350</v>
      </c>
      <c r="J62" s="129" t="s">
        <v>687</v>
      </c>
      <c r="K62" s="268">
        <v>16</v>
      </c>
      <c r="L62" s="269"/>
      <c r="M62" s="126"/>
    </row>
    <row r="63" spans="1:13" ht="9.75" customHeight="1">
      <c r="A63" s="132">
        <v>400</v>
      </c>
      <c r="B63" s="133" t="s">
        <v>687</v>
      </c>
      <c r="C63" s="144">
        <v>16</v>
      </c>
      <c r="D63" s="145"/>
      <c r="E63" s="144">
        <v>400</v>
      </c>
      <c r="F63" s="129" t="s">
        <v>688</v>
      </c>
      <c r="G63" s="144">
        <v>16</v>
      </c>
      <c r="H63" s="145"/>
      <c r="I63" s="144">
        <v>400</v>
      </c>
      <c r="J63" s="129" t="s">
        <v>687</v>
      </c>
      <c r="K63" s="268">
        <v>16</v>
      </c>
      <c r="L63" s="269"/>
      <c r="M63" s="126"/>
    </row>
    <row r="64" spans="1:13" ht="9.9499999999999993" customHeight="1">
      <c r="A64" s="132">
        <v>450</v>
      </c>
      <c r="B64" s="133" t="s">
        <v>667</v>
      </c>
      <c r="C64" s="144">
        <v>20</v>
      </c>
      <c r="D64" s="145"/>
      <c r="E64" s="144">
        <v>450</v>
      </c>
      <c r="F64" s="129" t="s">
        <v>689</v>
      </c>
      <c r="G64" s="144">
        <v>20</v>
      </c>
      <c r="H64" s="145"/>
      <c r="I64" s="144">
        <v>450</v>
      </c>
      <c r="J64" s="129" t="s">
        <v>687</v>
      </c>
      <c r="K64" s="268">
        <v>20</v>
      </c>
      <c r="L64" s="269"/>
      <c r="M64" s="126"/>
    </row>
    <row r="65" spans="1:13" ht="9.75" customHeight="1">
      <c r="A65" s="132">
        <v>500</v>
      </c>
      <c r="B65" s="133" t="s">
        <v>667</v>
      </c>
      <c r="C65" s="144">
        <v>20</v>
      </c>
      <c r="D65" s="145"/>
      <c r="E65" s="144">
        <v>500</v>
      </c>
      <c r="F65" s="129" t="s">
        <v>690</v>
      </c>
      <c r="G65" s="144">
        <v>20</v>
      </c>
      <c r="H65" s="145"/>
      <c r="I65" s="144">
        <v>500</v>
      </c>
      <c r="J65" s="129" t="s">
        <v>667</v>
      </c>
      <c r="K65" s="268">
        <v>20</v>
      </c>
      <c r="L65" s="269"/>
      <c r="M65" s="126"/>
    </row>
    <row r="66" spans="1:13" ht="9.9499999999999993" customHeight="1">
      <c r="A66" s="132">
        <v>550</v>
      </c>
      <c r="B66" s="133" t="s">
        <v>688</v>
      </c>
      <c r="C66" s="144">
        <v>20</v>
      </c>
      <c r="D66" s="145"/>
      <c r="E66" s="144">
        <v>550</v>
      </c>
      <c r="F66" s="129" t="s">
        <v>691</v>
      </c>
      <c r="G66" s="144">
        <v>20</v>
      </c>
      <c r="H66" s="145"/>
      <c r="I66" s="144">
        <v>550</v>
      </c>
      <c r="J66" s="129" t="s">
        <v>688</v>
      </c>
      <c r="K66" s="268">
        <v>20</v>
      </c>
      <c r="L66" s="269"/>
      <c r="M66" s="126"/>
    </row>
    <row r="67" spans="1:13" ht="10.35" customHeight="1" thickBot="1">
      <c r="A67" s="135">
        <v>600</v>
      </c>
      <c r="B67" s="136" t="s">
        <v>689</v>
      </c>
      <c r="C67" s="152">
        <v>20</v>
      </c>
      <c r="D67" s="153"/>
      <c r="E67" s="152">
        <v>600</v>
      </c>
      <c r="F67" s="138" t="s">
        <v>692</v>
      </c>
      <c r="G67" s="152">
        <v>20</v>
      </c>
      <c r="H67" s="153"/>
      <c r="I67" s="152">
        <v>600</v>
      </c>
      <c r="J67" s="138" t="s">
        <v>688</v>
      </c>
      <c r="K67" s="277">
        <v>20</v>
      </c>
      <c r="L67" s="278"/>
      <c r="M67" s="126"/>
    </row>
    <row r="68" spans="1:13" ht="10.35" customHeight="1">
      <c r="A68" s="139"/>
      <c r="B68" s="140"/>
      <c r="C68" s="139"/>
      <c r="D68" s="126"/>
      <c r="E68" s="139"/>
      <c r="F68" s="141"/>
      <c r="G68" s="139"/>
      <c r="H68" s="126"/>
      <c r="I68" s="139"/>
      <c r="J68" s="141"/>
      <c r="K68" s="139"/>
      <c r="L68" s="139"/>
      <c r="M68" s="126"/>
    </row>
    <row r="69" spans="1:13" ht="51.75" customHeight="1">
      <c r="A69" s="291" t="s">
        <v>693</v>
      </c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21"/>
    </row>
  </sheetData>
  <mergeCells count="69">
    <mergeCell ref="K66:L66"/>
    <mergeCell ref="K67:L67"/>
    <mergeCell ref="A69:L69"/>
    <mergeCell ref="K60:L60"/>
    <mergeCell ref="K61:L61"/>
    <mergeCell ref="K62:L62"/>
    <mergeCell ref="K63:L63"/>
    <mergeCell ref="K64:L64"/>
    <mergeCell ref="K65:L65"/>
    <mergeCell ref="K59:L59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44:L44"/>
    <mergeCell ref="K45:L45"/>
    <mergeCell ref="A46:L46"/>
    <mergeCell ref="A47:D47"/>
    <mergeCell ref="E47:H47"/>
    <mergeCell ref="I47:L47"/>
    <mergeCell ref="K43:L43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31:L31"/>
    <mergeCell ref="K19:L19"/>
    <mergeCell ref="K20:L20"/>
    <mergeCell ref="K21:L21"/>
    <mergeCell ref="A23:L23"/>
    <mergeCell ref="A24:L24"/>
    <mergeCell ref="K25:L25"/>
    <mergeCell ref="K26:L26"/>
    <mergeCell ref="K27:L27"/>
    <mergeCell ref="K28:L28"/>
    <mergeCell ref="K29:L29"/>
    <mergeCell ref="K30:L30"/>
    <mergeCell ref="K18:L18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6:L6"/>
    <mergeCell ref="A1:L1"/>
    <mergeCell ref="K2:L2"/>
    <mergeCell ref="K3:L3"/>
    <mergeCell ref="K4:L4"/>
    <mergeCell ref="K5:L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opLeftCell="A13" workbookViewId="0">
      <selection activeCell="H27" sqref="H27"/>
    </sheetView>
  </sheetViews>
  <sheetFormatPr defaultRowHeight="15"/>
  <cols>
    <col min="22" max="24" width="19.5703125" customWidth="1"/>
  </cols>
  <sheetData>
    <row r="1" spans="1:27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t="s">
        <v>1</v>
      </c>
      <c r="B2" s="4"/>
      <c r="C2" s="173" t="s">
        <v>2</v>
      </c>
      <c r="D2" s="17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>
      <c r="A6" s="176" t="s">
        <v>21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2"/>
      <c r="V6" s="2"/>
      <c r="W6" s="2"/>
      <c r="X6" s="2"/>
      <c r="Y6" s="2"/>
      <c r="Z6" s="2"/>
      <c r="AA6" s="2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75" t="s">
        <v>35</v>
      </c>
      <c r="V7" s="175"/>
      <c r="W7" s="175"/>
      <c r="X7" s="175"/>
      <c r="Y7" s="2"/>
      <c r="Z7" s="2"/>
      <c r="AA7" s="2"/>
    </row>
    <row r="8" spans="1:27">
      <c r="A8" s="175" t="s">
        <v>22</v>
      </c>
      <c r="B8" s="175"/>
      <c r="C8" s="175"/>
      <c r="D8" s="175"/>
      <c r="E8" s="175"/>
      <c r="F8" s="9"/>
      <c r="G8" s="175" t="s">
        <v>23</v>
      </c>
      <c r="H8" s="175"/>
      <c r="I8" s="175"/>
      <c r="J8" s="175"/>
      <c r="K8" s="175"/>
      <c r="L8" s="9"/>
      <c r="M8" s="175" t="s">
        <v>24</v>
      </c>
      <c r="N8" s="175"/>
      <c r="O8" s="175"/>
      <c r="P8" s="175"/>
      <c r="Q8" s="175"/>
    </row>
    <row r="9" spans="1:27">
      <c r="U9" s="12" t="s">
        <v>25</v>
      </c>
      <c r="V9" s="13" t="s">
        <v>32</v>
      </c>
      <c r="W9" s="13" t="s">
        <v>33</v>
      </c>
      <c r="X9" s="13" t="s">
        <v>34</v>
      </c>
    </row>
    <row r="10" spans="1:27">
      <c r="A10" s="10" t="s">
        <v>25</v>
      </c>
      <c r="B10" s="10" t="s">
        <v>29</v>
      </c>
      <c r="C10" s="10" t="s">
        <v>30</v>
      </c>
      <c r="D10" s="10" t="s">
        <v>31</v>
      </c>
      <c r="E10" s="10" t="s">
        <v>9</v>
      </c>
      <c r="F10" s="8"/>
      <c r="G10" s="11" t="s">
        <v>25</v>
      </c>
      <c r="H10" s="11" t="s">
        <v>29</v>
      </c>
      <c r="I10" s="11" t="s">
        <v>30</v>
      </c>
      <c r="J10" s="11" t="s">
        <v>31</v>
      </c>
      <c r="K10" s="11" t="s">
        <v>9</v>
      </c>
      <c r="L10" s="8"/>
      <c r="M10" s="12" t="s">
        <v>25</v>
      </c>
      <c r="N10" s="12" t="s">
        <v>29</v>
      </c>
      <c r="O10" s="12" t="s">
        <v>30</v>
      </c>
      <c r="P10" s="12" t="s">
        <v>31</v>
      </c>
      <c r="Q10" s="12" t="s">
        <v>9</v>
      </c>
      <c r="U10" s="12">
        <v>32</v>
      </c>
      <c r="V10" s="3"/>
      <c r="W10" s="3"/>
      <c r="X10" s="3"/>
    </row>
    <row r="11" spans="1:27">
      <c r="A11" s="10">
        <v>32</v>
      </c>
      <c r="B11" s="10">
        <v>22.18</v>
      </c>
      <c r="C11" s="10"/>
      <c r="D11" s="10"/>
      <c r="E11" s="10"/>
      <c r="F11" s="8"/>
      <c r="G11" s="11">
        <v>32</v>
      </c>
      <c r="H11" s="11">
        <v>28.2</v>
      </c>
      <c r="I11" s="11"/>
      <c r="J11" s="11"/>
      <c r="K11" s="11"/>
      <c r="L11" s="8"/>
      <c r="M11" s="12">
        <v>32</v>
      </c>
      <c r="N11" s="12"/>
      <c r="O11" s="12"/>
      <c r="P11" s="12"/>
      <c r="Q11" s="12"/>
      <c r="U11" s="12">
        <v>40</v>
      </c>
      <c r="V11" s="3"/>
      <c r="W11" s="3"/>
      <c r="X11" s="3"/>
    </row>
    <row r="12" spans="1:27">
      <c r="A12" s="10">
        <v>40</v>
      </c>
      <c r="B12" s="10">
        <v>25.5</v>
      </c>
      <c r="C12" s="10"/>
      <c r="D12" s="10"/>
      <c r="E12" s="10"/>
      <c r="F12" s="8"/>
      <c r="G12" s="11">
        <v>40</v>
      </c>
      <c r="H12" s="11">
        <v>27.7</v>
      </c>
      <c r="I12" s="11"/>
      <c r="J12" s="11"/>
      <c r="K12" s="11"/>
      <c r="L12" s="8"/>
      <c r="M12" s="12">
        <v>40</v>
      </c>
      <c r="N12" s="12"/>
      <c r="O12" s="12"/>
      <c r="P12" s="12"/>
      <c r="Q12" s="12"/>
      <c r="U12" s="12">
        <v>50</v>
      </c>
      <c r="V12" s="3"/>
      <c r="W12" s="3"/>
      <c r="X12" s="3"/>
    </row>
    <row r="13" spans="1:27">
      <c r="A13" s="10">
        <v>50</v>
      </c>
      <c r="B13" s="10">
        <v>30.45</v>
      </c>
      <c r="C13" s="10"/>
      <c r="D13" s="10"/>
      <c r="E13" s="10"/>
      <c r="F13" s="8"/>
      <c r="G13" s="11">
        <v>50</v>
      </c>
      <c r="H13" s="11">
        <v>39.700000000000003</v>
      </c>
      <c r="I13" s="11"/>
      <c r="J13" s="11"/>
      <c r="K13" s="11"/>
      <c r="L13" s="8"/>
      <c r="M13" s="12">
        <v>50</v>
      </c>
      <c r="N13" s="12"/>
      <c r="O13" s="12"/>
      <c r="P13" s="12"/>
      <c r="Q13" s="12"/>
      <c r="U13" s="12">
        <v>63</v>
      </c>
      <c r="V13" s="3"/>
      <c r="W13" s="3"/>
      <c r="X13" s="3"/>
    </row>
    <row r="14" spans="1:27">
      <c r="A14" s="10">
        <v>63</v>
      </c>
      <c r="B14" s="10">
        <v>34.520000000000003</v>
      </c>
      <c r="C14" s="10"/>
      <c r="D14" s="10"/>
      <c r="E14" s="10"/>
      <c r="F14" s="8"/>
      <c r="G14" s="11">
        <v>63</v>
      </c>
      <c r="H14" s="11">
        <v>50.4</v>
      </c>
      <c r="I14" s="11"/>
      <c r="J14" s="11"/>
      <c r="K14" s="11"/>
      <c r="L14" s="8"/>
      <c r="M14" s="12">
        <v>63</v>
      </c>
      <c r="N14" s="12">
        <v>34.28</v>
      </c>
      <c r="O14" s="12"/>
      <c r="P14" s="12"/>
      <c r="Q14" s="12"/>
      <c r="U14" s="12">
        <v>50.6</v>
      </c>
      <c r="V14" s="3"/>
      <c r="W14" s="3"/>
      <c r="X14" s="3"/>
    </row>
    <row r="15" spans="1:27">
      <c r="A15" s="10">
        <v>75</v>
      </c>
      <c r="B15" s="10">
        <v>40.799999999999997</v>
      </c>
      <c r="C15" s="10"/>
      <c r="D15" s="10"/>
      <c r="E15" s="10"/>
      <c r="F15" s="8"/>
      <c r="G15" s="11">
        <v>50.6</v>
      </c>
      <c r="H15" s="11">
        <v>59.96</v>
      </c>
      <c r="I15" s="11"/>
      <c r="J15" s="11"/>
      <c r="K15" s="11"/>
      <c r="L15" s="8"/>
      <c r="M15" s="12">
        <v>50.6</v>
      </c>
      <c r="N15" s="12">
        <v>64.8</v>
      </c>
      <c r="O15" s="12"/>
      <c r="P15" s="12"/>
      <c r="Q15" s="12"/>
      <c r="U15" s="12">
        <v>90</v>
      </c>
      <c r="V15" s="3"/>
      <c r="W15" s="3"/>
      <c r="X15" s="3"/>
    </row>
    <row r="16" spans="1:27">
      <c r="A16" s="10">
        <v>90</v>
      </c>
      <c r="B16" s="10">
        <v>50.6</v>
      </c>
      <c r="C16" s="10"/>
      <c r="D16" s="10"/>
      <c r="E16" s="10"/>
      <c r="F16" s="8"/>
      <c r="G16" s="11">
        <v>90</v>
      </c>
      <c r="H16" s="11">
        <v>60</v>
      </c>
      <c r="I16" s="11"/>
      <c r="J16" s="11"/>
      <c r="K16" s="11"/>
      <c r="L16" s="8"/>
      <c r="M16" s="12">
        <v>90</v>
      </c>
      <c r="N16" s="12">
        <v>84</v>
      </c>
      <c r="O16" s="12"/>
      <c r="P16" s="12"/>
      <c r="Q16" s="12"/>
      <c r="U16" s="12" t="s">
        <v>26</v>
      </c>
      <c r="V16" s="3"/>
      <c r="W16" s="3"/>
      <c r="X16" s="3"/>
    </row>
    <row r="17" spans="1:24">
      <c r="A17" s="10" t="s">
        <v>26</v>
      </c>
      <c r="B17" s="10">
        <v>57</v>
      </c>
      <c r="C17" s="10"/>
      <c r="D17" s="10"/>
      <c r="E17" s="10"/>
      <c r="F17" s="8"/>
      <c r="G17" s="11" t="s">
        <v>26</v>
      </c>
      <c r="H17" s="11">
        <v>74</v>
      </c>
      <c r="I17" s="11"/>
      <c r="J17" s="11"/>
      <c r="K17" s="11"/>
      <c r="L17" s="8"/>
      <c r="M17" s="12" t="s">
        <v>26</v>
      </c>
      <c r="N17" s="12">
        <v>79.2</v>
      </c>
      <c r="O17" s="12"/>
      <c r="P17" s="12"/>
      <c r="Q17" s="12"/>
      <c r="U17" s="12">
        <v>140</v>
      </c>
      <c r="V17" s="3"/>
      <c r="W17" s="3"/>
      <c r="X17" s="3"/>
    </row>
    <row r="18" spans="1:24">
      <c r="A18" s="10">
        <v>140</v>
      </c>
      <c r="B18" s="10">
        <v>96.06</v>
      </c>
      <c r="C18" s="10"/>
      <c r="D18" s="10"/>
      <c r="E18" s="10"/>
      <c r="F18" s="8"/>
      <c r="G18" s="11">
        <v>140</v>
      </c>
      <c r="H18" s="11">
        <v>121</v>
      </c>
      <c r="I18" s="11"/>
      <c r="J18" s="11"/>
      <c r="K18" s="11"/>
      <c r="L18" s="8"/>
      <c r="M18" s="12">
        <v>140</v>
      </c>
      <c r="N18" s="12">
        <v>122.4</v>
      </c>
      <c r="O18" s="12"/>
      <c r="P18" s="12"/>
      <c r="Q18" s="12"/>
      <c r="U18" s="12" t="s">
        <v>27</v>
      </c>
      <c r="V18" s="3"/>
      <c r="W18" s="3"/>
      <c r="X18" s="3"/>
    </row>
    <row r="19" spans="1:24">
      <c r="A19" s="10" t="s">
        <v>27</v>
      </c>
      <c r="B19" s="10">
        <v>114</v>
      </c>
      <c r="C19" s="10"/>
      <c r="D19" s="10"/>
      <c r="E19" s="10"/>
      <c r="F19" s="8"/>
      <c r="G19" s="11" t="s">
        <v>27</v>
      </c>
      <c r="H19" s="11">
        <v>130.15</v>
      </c>
      <c r="I19" s="11"/>
      <c r="J19" s="11"/>
      <c r="K19" s="11"/>
      <c r="L19" s="8"/>
      <c r="M19" s="12" t="s">
        <v>27</v>
      </c>
      <c r="N19" s="12">
        <v>141.6</v>
      </c>
      <c r="O19" s="12"/>
      <c r="P19" s="12"/>
      <c r="Q19" s="12"/>
      <c r="U19" s="12" t="s">
        <v>28</v>
      </c>
      <c r="V19" s="3"/>
      <c r="W19" s="3"/>
      <c r="X19" s="3"/>
    </row>
    <row r="20" spans="1:24">
      <c r="A20" s="10" t="s">
        <v>28</v>
      </c>
      <c r="B20" s="10">
        <v>132</v>
      </c>
      <c r="C20" s="10"/>
      <c r="D20" s="10"/>
      <c r="E20" s="10"/>
      <c r="F20" s="8"/>
      <c r="G20" s="11" t="s">
        <v>28</v>
      </c>
      <c r="H20" s="11">
        <v>178.75</v>
      </c>
      <c r="I20" s="11"/>
      <c r="J20" s="11"/>
      <c r="K20" s="11"/>
      <c r="L20" s="8"/>
      <c r="M20" s="12" t="s">
        <v>28</v>
      </c>
      <c r="N20" s="12">
        <v>182.65</v>
      </c>
      <c r="O20" s="12"/>
      <c r="P20" s="12"/>
      <c r="Q20" s="12"/>
      <c r="U20" s="12">
        <v>250</v>
      </c>
      <c r="V20" s="3"/>
      <c r="W20" s="3"/>
      <c r="X20" s="3"/>
    </row>
    <row r="21" spans="1:24">
      <c r="A21" s="10">
        <v>250</v>
      </c>
      <c r="B21" s="10">
        <v>250.8</v>
      </c>
      <c r="C21" s="10"/>
      <c r="D21" s="10"/>
      <c r="E21" s="10"/>
      <c r="F21" s="8"/>
      <c r="G21" s="11">
        <v>250</v>
      </c>
      <c r="H21" s="11">
        <v>268.79000000000002</v>
      </c>
      <c r="I21" s="11"/>
      <c r="J21" s="11"/>
      <c r="K21" s="11"/>
      <c r="L21" s="8"/>
      <c r="M21" s="12">
        <v>250</v>
      </c>
      <c r="N21" s="12">
        <v>373.75</v>
      </c>
      <c r="O21" s="12"/>
      <c r="P21" s="12"/>
      <c r="Q21" s="12"/>
      <c r="U21" s="12">
        <v>280</v>
      </c>
      <c r="V21" s="3"/>
      <c r="W21" s="3"/>
      <c r="X21" s="3"/>
    </row>
    <row r="22" spans="1:24">
      <c r="A22" s="10">
        <v>280</v>
      </c>
      <c r="B22" s="10">
        <v>240</v>
      </c>
      <c r="C22" s="10"/>
      <c r="D22" s="10"/>
      <c r="E22" s="10"/>
      <c r="F22" s="8"/>
      <c r="G22" s="11">
        <v>280</v>
      </c>
      <c r="H22" s="11">
        <v>316</v>
      </c>
      <c r="I22" s="11"/>
      <c r="J22" s="11"/>
      <c r="K22" s="11"/>
      <c r="L22" s="8"/>
      <c r="M22" s="12">
        <v>280</v>
      </c>
      <c r="N22" s="12">
        <v>435.6</v>
      </c>
      <c r="O22" s="12"/>
      <c r="P22" s="12"/>
      <c r="Q22" s="12"/>
      <c r="U22" s="12">
        <v>315</v>
      </c>
      <c r="V22" s="3"/>
      <c r="W22" s="3"/>
      <c r="X22" s="3"/>
    </row>
    <row r="23" spans="1:24">
      <c r="A23" s="10">
        <v>315</v>
      </c>
      <c r="B23" s="10">
        <v>287</v>
      </c>
      <c r="C23" s="10"/>
      <c r="D23" s="10"/>
      <c r="E23" s="10"/>
      <c r="F23" s="8"/>
      <c r="G23" s="11">
        <v>315</v>
      </c>
      <c r="H23" s="11">
        <v>363.4</v>
      </c>
      <c r="I23" s="11"/>
      <c r="J23" s="11"/>
      <c r="K23" s="11"/>
      <c r="L23" s="8"/>
      <c r="M23" s="12">
        <v>315</v>
      </c>
      <c r="N23" s="12">
        <v>627.79999999999995</v>
      </c>
      <c r="O23" s="12"/>
      <c r="P23" s="12"/>
      <c r="Q23" s="12"/>
      <c r="U23" s="12">
        <v>355</v>
      </c>
      <c r="V23" s="3"/>
      <c r="W23" s="3"/>
      <c r="X23" s="3"/>
    </row>
    <row r="24" spans="1:24">
      <c r="A24" s="10">
        <v>355</v>
      </c>
      <c r="B24" s="10">
        <v>586.80999999999995</v>
      </c>
      <c r="C24" s="10"/>
      <c r="D24" s="10"/>
      <c r="E24" s="10"/>
      <c r="F24" s="8"/>
      <c r="G24" s="11">
        <v>355</v>
      </c>
      <c r="H24" s="11">
        <v>493.84</v>
      </c>
      <c r="I24" s="11"/>
      <c r="J24" s="11"/>
      <c r="K24" s="11"/>
      <c r="L24" s="8"/>
      <c r="M24" s="12">
        <v>355</v>
      </c>
      <c r="N24" s="12">
        <v>588</v>
      </c>
      <c r="O24" s="12"/>
      <c r="P24" s="12"/>
      <c r="Q24" s="12"/>
      <c r="U24" s="12">
        <v>400</v>
      </c>
      <c r="V24" s="3"/>
      <c r="W24" s="3"/>
      <c r="X24" s="3"/>
    </row>
    <row r="25" spans="1:24">
      <c r="A25" s="10">
        <v>400</v>
      </c>
      <c r="B25" s="10">
        <v>523.26</v>
      </c>
      <c r="C25" s="10"/>
      <c r="D25" s="10"/>
      <c r="E25" s="10"/>
      <c r="F25" s="8"/>
      <c r="G25" s="11">
        <v>400</v>
      </c>
      <c r="H25" s="11">
        <v>525.6</v>
      </c>
      <c r="I25" s="11"/>
      <c r="J25" s="11"/>
      <c r="K25" s="11"/>
      <c r="L25" s="8"/>
      <c r="M25" s="12">
        <v>400</v>
      </c>
      <c r="N25" s="12">
        <v>801.69</v>
      </c>
      <c r="O25" s="12"/>
      <c r="P25" s="12"/>
      <c r="Q25" s="12"/>
      <c r="U25" s="12">
        <v>450</v>
      </c>
      <c r="V25" s="3"/>
      <c r="W25" s="3"/>
      <c r="X25" s="3"/>
    </row>
    <row r="26" spans="1:24">
      <c r="A26" s="10">
        <v>450</v>
      </c>
      <c r="B26" s="10">
        <v>950.4</v>
      </c>
      <c r="C26" s="10"/>
      <c r="D26" s="10"/>
      <c r="E26" s="10"/>
      <c r="F26" s="8"/>
      <c r="G26" s="11">
        <v>450</v>
      </c>
      <c r="H26" s="11">
        <v>852.78</v>
      </c>
      <c r="I26" s="11"/>
      <c r="J26" s="11"/>
      <c r="K26" s="11"/>
      <c r="L26" s="8"/>
      <c r="M26" s="12">
        <v>450</v>
      </c>
      <c r="N26" s="12"/>
      <c r="O26" s="12"/>
      <c r="P26" s="12"/>
      <c r="Q26" s="12"/>
      <c r="U26" s="12">
        <v>500</v>
      </c>
      <c r="V26" s="3"/>
      <c r="W26" s="3"/>
      <c r="X26" s="3"/>
    </row>
    <row r="27" spans="1:24">
      <c r="A27" s="10">
        <v>500</v>
      </c>
      <c r="B27" s="10"/>
      <c r="C27" s="10"/>
      <c r="D27" s="10"/>
      <c r="E27" s="10"/>
      <c r="F27" s="8"/>
      <c r="G27" s="11">
        <v>500</v>
      </c>
      <c r="H27" s="11">
        <v>817.44</v>
      </c>
      <c r="I27" s="11"/>
      <c r="J27" s="11"/>
      <c r="K27" s="11"/>
      <c r="L27" s="8"/>
      <c r="M27" s="12">
        <v>500</v>
      </c>
      <c r="N27" s="12"/>
      <c r="O27" s="12"/>
      <c r="P27" s="12"/>
      <c r="Q27" s="12"/>
      <c r="U27" s="12">
        <v>530</v>
      </c>
      <c r="V27" s="3"/>
      <c r="W27" s="3"/>
      <c r="X27" s="3"/>
    </row>
    <row r="28" spans="1:24">
      <c r="A28" s="10">
        <v>530</v>
      </c>
      <c r="B28" s="10"/>
      <c r="C28" s="10"/>
      <c r="D28" s="10"/>
      <c r="E28" s="10"/>
      <c r="F28" s="8"/>
      <c r="G28" s="11">
        <v>530</v>
      </c>
      <c r="H28" s="11">
        <v>1236.25</v>
      </c>
      <c r="I28" s="11"/>
      <c r="J28" s="11"/>
      <c r="K28" s="11"/>
      <c r="L28" s="8"/>
      <c r="M28" s="12">
        <v>530</v>
      </c>
      <c r="N28" s="12"/>
      <c r="O28" s="12"/>
      <c r="P28" s="12"/>
      <c r="Q28" s="12"/>
      <c r="U28" s="12">
        <v>630</v>
      </c>
      <c r="V28" s="3"/>
      <c r="W28" s="3"/>
      <c r="X28" s="3"/>
    </row>
    <row r="29" spans="1:24">
      <c r="A29" s="10">
        <v>630</v>
      </c>
      <c r="B29" s="10"/>
      <c r="C29" s="10"/>
      <c r="D29" s="10"/>
      <c r="E29" s="10"/>
      <c r="F29" s="8"/>
      <c r="G29" s="11">
        <v>630</v>
      </c>
      <c r="H29" s="11"/>
      <c r="I29" s="11"/>
      <c r="J29" s="11"/>
      <c r="K29" s="11"/>
      <c r="L29" s="8"/>
      <c r="M29" s="12">
        <v>630</v>
      </c>
      <c r="N29" s="12"/>
      <c r="O29" s="12"/>
      <c r="P29" s="12"/>
      <c r="Q29" s="12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2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</sheetData>
  <mergeCells count="6">
    <mergeCell ref="U7:X7"/>
    <mergeCell ref="C2:D2"/>
    <mergeCell ref="A6:T6"/>
    <mergeCell ref="M8:Q8"/>
    <mergeCell ref="G8:K8"/>
    <mergeCell ref="A8:E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zoomScale="57" zoomScaleNormal="57" workbookViewId="0">
      <selection activeCell="J12" sqref="J12"/>
    </sheetView>
  </sheetViews>
  <sheetFormatPr defaultColWidth="9.140625" defaultRowHeight="23.25"/>
  <cols>
    <col min="1" max="1" width="48.28515625" style="158" bestFit="1" customWidth="1"/>
    <col min="2" max="2" width="10.5703125" style="171" bestFit="1" customWidth="1"/>
    <col min="3" max="3" width="34.28515625" style="158" hidden="1" customWidth="1"/>
    <col min="4" max="4" width="13.85546875" style="158" bestFit="1" customWidth="1"/>
    <col min="5" max="5" width="15.85546875" style="158" bestFit="1" customWidth="1"/>
    <col min="6" max="6" width="34.28515625" style="172" bestFit="1" customWidth="1"/>
    <col min="7" max="16384" width="9.140625" style="158"/>
  </cols>
  <sheetData>
    <row r="1" spans="1:6">
      <c r="A1" s="154" t="s">
        <v>694</v>
      </c>
      <c r="B1" s="155" t="s">
        <v>695</v>
      </c>
      <c r="C1" s="156" t="s">
        <v>696</v>
      </c>
      <c r="D1" s="156"/>
      <c r="E1" s="156"/>
      <c r="F1" s="157" t="s">
        <v>696</v>
      </c>
    </row>
    <row r="2" spans="1:6" ht="29.25" customHeight="1">
      <c r="A2" s="292" t="s">
        <v>697</v>
      </c>
      <c r="B2" s="292"/>
      <c r="C2" s="292"/>
      <c r="D2" s="154" t="s">
        <v>698</v>
      </c>
      <c r="E2" s="159" t="s">
        <v>699</v>
      </c>
      <c r="F2" s="157" t="s">
        <v>700</v>
      </c>
    </row>
    <row r="3" spans="1:6">
      <c r="A3" s="160" t="s">
        <v>701</v>
      </c>
      <c r="B3" s="161">
        <v>0.45</v>
      </c>
      <c r="C3" s="162">
        <f>(F3*B3)</f>
        <v>10.95876</v>
      </c>
      <c r="D3" s="162">
        <f>F3-C3</f>
        <v>13.394039999999999</v>
      </c>
      <c r="E3" s="163">
        <f>D3/0.75</f>
        <v>17.858719999999998</v>
      </c>
      <c r="F3" s="157">
        <v>24.352799999999998</v>
      </c>
    </row>
    <row r="4" spans="1:6">
      <c r="A4" s="160" t="s">
        <v>702</v>
      </c>
      <c r="B4" s="161">
        <v>0.45</v>
      </c>
      <c r="C4" s="162">
        <f t="shared" ref="C4:C67" si="0">(F4*B4)</f>
        <v>10.95876</v>
      </c>
      <c r="D4" s="162">
        <f t="shared" ref="D4:D67" si="1">F4-C4</f>
        <v>13.394039999999999</v>
      </c>
      <c r="E4" s="163">
        <f t="shared" ref="E4:E67" si="2">D4/0.75</f>
        <v>17.858719999999998</v>
      </c>
      <c r="F4" s="157">
        <v>24.352799999999998</v>
      </c>
    </row>
    <row r="5" spans="1:6">
      <c r="A5" s="164" t="s">
        <v>703</v>
      </c>
      <c r="B5" s="165">
        <v>0.6</v>
      </c>
      <c r="C5" s="162">
        <f t="shared" si="0"/>
        <v>13.91112</v>
      </c>
      <c r="D5" s="162">
        <f t="shared" si="1"/>
        <v>9.2740800000000014</v>
      </c>
      <c r="E5" s="163">
        <f t="shared" si="2"/>
        <v>12.365440000000001</v>
      </c>
      <c r="F5" s="157">
        <v>23.185200000000002</v>
      </c>
    </row>
    <row r="6" spans="1:6">
      <c r="A6" s="164" t="s">
        <v>704</v>
      </c>
      <c r="B6" s="165">
        <v>0.6</v>
      </c>
      <c r="C6" s="162">
        <f t="shared" si="0"/>
        <v>13.91112</v>
      </c>
      <c r="D6" s="162">
        <f t="shared" si="1"/>
        <v>9.2740800000000014</v>
      </c>
      <c r="E6" s="163">
        <f t="shared" si="2"/>
        <v>12.365440000000001</v>
      </c>
      <c r="F6" s="157">
        <v>23.185200000000002</v>
      </c>
    </row>
    <row r="7" spans="1:6">
      <c r="A7" s="166" t="s">
        <v>705</v>
      </c>
      <c r="B7" s="165">
        <v>0.6</v>
      </c>
      <c r="C7" s="162">
        <f t="shared" si="0"/>
        <v>17.08032</v>
      </c>
      <c r="D7" s="162">
        <f t="shared" si="1"/>
        <v>11.386880000000001</v>
      </c>
      <c r="E7" s="163">
        <f t="shared" si="2"/>
        <v>15.182506666666669</v>
      </c>
      <c r="F7" s="157">
        <v>28.467200000000002</v>
      </c>
    </row>
    <row r="8" spans="1:6">
      <c r="A8" s="164" t="s">
        <v>706</v>
      </c>
      <c r="B8" s="165">
        <v>0.6</v>
      </c>
      <c r="C8" s="162">
        <f t="shared" si="0"/>
        <v>17.08032</v>
      </c>
      <c r="D8" s="162">
        <f t="shared" si="1"/>
        <v>11.386880000000001</v>
      </c>
      <c r="E8" s="163">
        <f t="shared" si="2"/>
        <v>15.182506666666669</v>
      </c>
      <c r="F8" s="157">
        <v>28.467200000000002</v>
      </c>
    </row>
    <row r="9" spans="1:6">
      <c r="A9" s="166" t="s">
        <v>707</v>
      </c>
      <c r="B9" s="165">
        <v>0.6</v>
      </c>
      <c r="C9" s="162">
        <f t="shared" si="0"/>
        <v>17.08032</v>
      </c>
      <c r="D9" s="162">
        <f t="shared" si="1"/>
        <v>11.386880000000001</v>
      </c>
      <c r="E9" s="163">
        <f t="shared" si="2"/>
        <v>15.182506666666669</v>
      </c>
      <c r="F9" s="157">
        <v>28.467200000000002</v>
      </c>
    </row>
    <row r="10" spans="1:6">
      <c r="A10" s="164" t="s">
        <v>708</v>
      </c>
      <c r="B10" s="165">
        <v>0.6</v>
      </c>
      <c r="C10" s="162">
        <f t="shared" si="0"/>
        <v>25.02</v>
      </c>
      <c r="D10" s="162">
        <f t="shared" si="1"/>
        <v>16.680000000000003</v>
      </c>
      <c r="E10" s="163">
        <f t="shared" si="2"/>
        <v>22.240000000000006</v>
      </c>
      <c r="F10" s="157">
        <v>41.7</v>
      </c>
    </row>
    <row r="11" spans="1:6">
      <c r="A11" s="164" t="s">
        <v>709</v>
      </c>
      <c r="B11" s="165">
        <v>0.6</v>
      </c>
      <c r="C11" s="162">
        <f t="shared" si="0"/>
        <v>25.02</v>
      </c>
      <c r="D11" s="162">
        <f t="shared" si="1"/>
        <v>16.680000000000003</v>
      </c>
      <c r="E11" s="163">
        <f t="shared" si="2"/>
        <v>22.240000000000006</v>
      </c>
      <c r="F11" s="157">
        <v>41.7</v>
      </c>
    </row>
    <row r="12" spans="1:6">
      <c r="A12" s="166" t="s">
        <v>710</v>
      </c>
      <c r="B12" s="165">
        <v>0.6</v>
      </c>
      <c r="C12" s="162">
        <f t="shared" si="0"/>
        <v>25.02</v>
      </c>
      <c r="D12" s="162">
        <f t="shared" si="1"/>
        <v>16.680000000000003</v>
      </c>
      <c r="E12" s="163">
        <f t="shared" si="2"/>
        <v>22.240000000000006</v>
      </c>
      <c r="F12" s="157">
        <v>41.7</v>
      </c>
    </row>
    <row r="13" spans="1:6">
      <c r="A13" s="166" t="s">
        <v>711</v>
      </c>
      <c r="B13" s="165">
        <v>0.6</v>
      </c>
      <c r="C13" s="162">
        <f t="shared" si="0"/>
        <v>25.02</v>
      </c>
      <c r="D13" s="162">
        <f t="shared" si="1"/>
        <v>16.680000000000003</v>
      </c>
      <c r="E13" s="163">
        <f t="shared" si="2"/>
        <v>22.240000000000006</v>
      </c>
      <c r="F13" s="157">
        <v>41.7</v>
      </c>
    </row>
    <row r="14" spans="1:6">
      <c r="A14" s="164" t="s">
        <v>712</v>
      </c>
      <c r="B14" s="165">
        <v>0.6</v>
      </c>
      <c r="C14" s="162">
        <f t="shared" si="0"/>
        <v>37.963679999999997</v>
      </c>
      <c r="D14" s="162">
        <f t="shared" si="1"/>
        <v>25.30912</v>
      </c>
      <c r="E14" s="163">
        <f t="shared" si="2"/>
        <v>33.745493333333336</v>
      </c>
      <c r="F14" s="157">
        <v>63.272799999999997</v>
      </c>
    </row>
    <row r="15" spans="1:6">
      <c r="A15" s="164" t="s">
        <v>713</v>
      </c>
      <c r="B15" s="165">
        <v>0.6</v>
      </c>
      <c r="C15" s="162">
        <f t="shared" si="0"/>
        <v>37.963679999999997</v>
      </c>
      <c r="D15" s="162">
        <f t="shared" si="1"/>
        <v>25.30912</v>
      </c>
      <c r="E15" s="163">
        <f t="shared" si="2"/>
        <v>33.745493333333336</v>
      </c>
      <c r="F15" s="157">
        <v>63.272799999999997</v>
      </c>
    </row>
    <row r="16" spans="1:6">
      <c r="A16" s="164" t="s">
        <v>714</v>
      </c>
      <c r="B16" s="165">
        <v>0.6</v>
      </c>
      <c r="C16" s="162">
        <f t="shared" si="0"/>
        <v>37.963679999999997</v>
      </c>
      <c r="D16" s="162">
        <f t="shared" si="1"/>
        <v>25.30912</v>
      </c>
      <c r="E16" s="163">
        <f t="shared" si="2"/>
        <v>33.745493333333336</v>
      </c>
      <c r="F16" s="157">
        <v>63.272799999999997</v>
      </c>
    </row>
    <row r="17" spans="1:6">
      <c r="A17" s="166" t="s">
        <v>715</v>
      </c>
      <c r="B17" s="165">
        <v>0.6</v>
      </c>
      <c r="C17" s="162">
        <f t="shared" si="0"/>
        <v>51.274319999999996</v>
      </c>
      <c r="D17" s="162">
        <f t="shared" si="1"/>
        <v>34.182880000000004</v>
      </c>
      <c r="E17" s="163">
        <f t="shared" si="2"/>
        <v>45.577173333333342</v>
      </c>
      <c r="F17" s="157">
        <v>85.4572</v>
      </c>
    </row>
    <row r="18" spans="1:6">
      <c r="A18" s="164" t="s">
        <v>716</v>
      </c>
      <c r="B18" s="165">
        <v>0.6</v>
      </c>
      <c r="C18" s="162">
        <f t="shared" si="0"/>
        <v>51.274319999999996</v>
      </c>
      <c r="D18" s="162">
        <f t="shared" si="1"/>
        <v>34.182880000000004</v>
      </c>
      <c r="E18" s="163">
        <f t="shared" si="2"/>
        <v>45.577173333333342</v>
      </c>
      <c r="F18" s="157">
        <v>85.4572</v>
      </c>
    </row>
    <row r="19" spans="1:6">
      <c r="A19" s="166" t="s">
        <v>717</v>
      </c>
      <c r="B19" s="165">
        <v>0.6</v>
      </c>
      <c r="C19" s="162">
        <f t="shared" si="0"/>
        <v>51.274319999999996</v>
      </c>
      <c r="D19" s="162">
        <f t="shared" si="1"/>
        <v>34.182880000000004</v>
      </c>
      <c r="E19" s="163">
        <f t="shared" si="2"/>
        <v>45.577173333333342</v>
      </c>
      <c r="F19" s="157">
        <v>85.4572</v>
      </c>
    </row>
    <row r="20" spans="1:6">
      <c r="A20" s="164" t="s">
        <v>718</v>
      </c>
      <c r="B20" s="165">
        <v>0.6</v>
      </c>
      <c r="C20" s="162">
        <f t="shared" si="0"/>
        <v>51.274319999999996</v>
      </c>
      <c r="D20" s="162">
        <f t="shared" si="1"/>
        <v>34.182880000000004</v>
      </c>
      <c r="E20" s="163">
        <f t="shared" si="2"/>
        <v>45.577173333333342</v>
      </c>
      <c r="F20" s="157">
        <v>85.4572</v>
      </c>
    </row>
    <row r="21" spans="1:6">
      <c r="A21" s="160" t="s">
        <v>719</v>
      </c>
      <c r="B21" s="161">
        <v>0.45</v>
      </c>
      <c r="C21" s="162">
        <f t="shared" si="0"/>
        <v>60.7986</v>
      </c>
      <c r="D21" s="162">
        <f t="shared" si="1"/>
        <v>74.309400000000011</v>
      </c>
      <c r="E21" s="163">
        <f t="shared" si="2"/>
        <v>99.079200000000014</v>
      </c>
      <c r="F21" s="157">
        <v>135.108</v>
      </c>
    </row>
    <row r="22" spans="1:6">
      <c r="A22" s="167" t="s">
        <v>720</v>
      </c>
      <c r="B22" s="161">
        <v>0.45</v>
      </c>
      <c r="C22" s="162">
        <f t="shared" si="0"/>
        <v>60.7986</v>
      </c>
      <c r="D22" s="162">
        <f t="shared" si="1"/>
        <v>74.309400000000011</v>
      </c>
      <c r="E22" s="163">
        <f t="shared" si="2"/>
        <v>99.079200000000014</v>
      </c>
      <c r="F22" s="157">
        <v>135.108</v>
      </c>
    </row>
    <row r="23" spans="1:6">
      <c r="A23" s="167" t="s">
        <v>721</v>
      </c>
      <c r="B23" s="161">
        <v>0.45</v>
      </c>
      <c r="C23" s="162">
        <f t="shared" si="0"/>
        <v>60.7986</v>
      </c>
      <c r="D23" s="162">
        <f t="shared" si="1"/>
        <v>74.309400000000011</v>
      </c>
      <c r="E23" s="163">
        <f t="shared" si="2"/>
        <v>99.079200000000014</v>
      </c>
      <c r="F23" s="157">
        <v>135.108</v>
      </c>
    </row>
    <row r="24" spans="1:6">
      <c r="A24" s="160" t="s">
        <v>722</v>
      </c>
      <c r="B24" s="161">
        <v>0.45</v>
      </c>
      <c r="C24" s="162">
        <f t="shared" si="0"/>
        <v>120.84660000000001</v>
      </c>
      <c r="D24" s="162">
        <f t="shared" si="1"/>
        <v>147.70139999999998</v>
      </c>
      <c r="E24" s="163">
        <f t="shared" si="2"/>
        <v>196.93519999999998</v>
      </c>
      <c r="F24" s="157">
        <v>268.548</v>
      </c>
    </row>
    <row r="25" spans="1:6">
      <c r="A25" s="160" t="s">
        <v>723</v>
      </c>
      <c r="B25" s="161">
        <v>0.45</v>
      </c>
      <c r="C25" s="162">
        <f t="shared" si="0"/>
        <v>120.84660000000001</v>
      </c>
      <c r="D25" s="162">
        <f t="shared" si="1"/>
        <v>147.70139999999998</v>
      </c>
      <c r="E25" s="163">
        <f t="shared" si="2"/>
        <v>196.93519999999998</v>
      </c>
      <c r="F25" s="157">
        <v>268.548</v>
      </c>
    </row>
    <row r="26" spans="1:6">
      <c r="A26" s="167" t="s">
        <v>724</v>
      </c>
      <c r="B26" s="161">
        <v>0.45</v>
      </c>
      <c r="C26" s="162">
        <f t="shared" si="0"/>
        <v>120.84660000000001</v>
      </c>
      <c r="D26" s="162">
        <f t="shared" si="1"/>
        <v>147.70139999999998</v>
      </c>
      <c r="E26" s="163">
        <f t="shared" si="2"/>
        <v>196.93519999999998</v>
      </c>
      <c r="F26" s="157">
        <v>268.548</v>
      </c>
    </row>
    <row r="27" spans="1:6">
      <c r="A27" s="160" t="s">
        <v>725</v>
      </c>
      <c r="B27" s="161">
        <v>0.45</v>
      </c>
      <c r="C27" s="162">
        <f t="shared" si="0"/>
        <v>147.36779999999999</v>
      </c>
      <c r="D27" s="162">
        <f t="shared" si="1"/>
        <v>180.11619999999999</v>
      </c>
      <c r="E27" s="163">
        <f t="shared" si="2"/>
        <v>240.15493333333333</v>
      </c>
      <c r="F27" s="157">
        <v>327.48399999999998</v>
      </c>
    </row>
    <row r="28" spans="1:6">
      <c r="A28" s="160" t="s">
        <v>726</v>
      </c>
      <c r="B28" s="161">
        <v>0.45</v>
      </c>
      <c r="C28" s="162">
        <f t="shared" si="0"/>
        <v>147.36779999999999</v>
      </c>
      <c r="D28" s="162">
        <f t="shared" si="1"/>
        <v>180.11619999999999</v>
      </c>
      <c r="E28" s="163">
        <f t="shared" si="2"/>
        <v>240.15493333333333</v>
      </c>
      <c r="F28" s="157">
        <v>327.48399999999998</v>
      </c>
    </row>
    <row r="29" spans="1:6">
      <c r="A29" s="160" t="s">
        <v>727</v>
      </c>
      <c r="B29" s="161">
        <v>0.45</v>
      </c>
      <c r="C29" s="162">
        <f t="shared" si="0"/>
        <v>147.36779999999999</v>
      </c>
      <c r="D29" s="162">
        <f t="shared" si="1"/>
        <v>180.11619999999999</v>
      </c>
      <c r="E29" s="163">
        <f t="shared" si="2"/>
        <v>240.15493333333333</v>
      </c>
      <c r="F29" s="157">
        <v>327.48399999999998</v>
      </c>
    </row>
    <row r="30" spans="1:6">
      <c r="A30" s="160" t="s">
        <v>728</v>
      </c>
      <c r="B30" s="161">
        <v>0.45</v>
      </c>
      <c r="C30" s="162">
        <f t="shared" si="0"/>
        <v>147.36779999999999</v>
      </c>
      <c r="D30" s="162">
        <f t="shared" si="1"/>
        <v>180.11619999999999</v>
      </c>
      <c r="E30" s="163">
        <f t="shared" si="2"/>
        <v>240.15493333333333</v>
      </c>
      <c r="F30" s="157">
        <v>327.48399999999998</v>
      </c>
    </row>
    <row r="31" spans="1:6">
      <c r="A31" s="160" t="s">
        <v>729</v>
      </c>
      <c r="B31" s="161">
        <v>0.45</v>
      </c>
      <c r="C31" s="162">
        <f t="shared" si="0"/>
        <v>349.97976</v>
      </c>
      <c r="D31" s="162">
        <f t="shared" si="1"/>
        <v>427.75304</v>
      </c>
      <c r="E31" s="163">
        <f t="shared" si="2"/>
        <v>570.3373866666667</v>
      </c>
      <c r="F31" s="157">
        <v>777.7328</v>
      </c>
    </row>
    <row r="32" spans="1:6">
      <c r="A32" s="160" t="s">
        <v>730</v>
      </c>
      <c r="B32" s="161">
        <v>0.45</v>
      </c>
      <c r="C32" s="162">
        <f t="shared" si="0"/>
        <v>349.97976</v>
      </c>
      <c r="D32" s="162">
        <f t="shared" si="1"/>
        <v>427.75304</v>
      </c>
      <c r="E32" s="163">
        <f t="shared" si="2"/>
        <v>570.3373866666667</v>
      </c>
      <c r="F32" s="157">
        <v>777.7328</v>
      </c>
    </row>
    <row r="33" spans="1:6">
      <c r="A33" s="160" t="s">
        <v>731</v>
      </c>
      <c r="B33" s="161">
        <v>0.45</v>
      </c>
      <c r="C33" s="162">
        <f t="shared" si="0"/>
        <v>349.97976</v>
      </c>
      <c r="D33" s="162">
        <f t="shared" si="1"/>
        <v>427.75304</v>
      </c>
      <c r="E33" s="163">
        <f t="shared" si="2"/>
        <v>570.3373866666667</v>
      </c>
      <c r="F33" s="157">
        <v>777.7328</v>
      </c>
    </row>
    <row r="34" spans="1:6">
      <c r="A34" s="292" t="s">
        <v>732</v>
      </c>
      <c r="B34" s="292"/>
      <c r="C34" s="292"/>
      <c r="D34" s="162">
        <f t="shared" si="1"/>
        <v>0</v>
      </c>
      <c r="E34" s="163">
        <f t="shared" si="2"/>
        <v>0</v>
      </c>
      <c r="F34" s="157"/>
    </row>
    <row r="35" spans="1:6">
      <c r="A35" s="160" t="s">
        <v>733</v>
      </c>
      <c r="B35" s="161">
        <v>0.45</v>
      </c>
      <c r="C35" s="162">
        <f t="shared" si="0"/>
        <v>9.8078400000000006</v>
      </c>
      <c r="D35" s="162">
        <f t="shared" si="1"/>
        <v>11.987360000000001</v>
      </c>
      <c r="E35" s="163">
        <f t="shared" si="2"/>
        <v>15.983146666666668</v>
      </c>
      <c r="F35" s="157">
        <v>21.795200000000001</v>
      </c>
    </row>
    <row r="36" spans="1:6">
      <c r="A36" s="160" t="s">
        <v>734</v>
      </c>
      <c r="B36" s="161">
        <v>0.45</v>
      </c>
      <c r="C36" s="162">
        <f t="shared" si="0"/>
        <v>9.8078400000000006</v>
      </c>
      <c r="D36" s="162">
        <f t="shared" si="1"/>
        <v>11.987360000000001</v>
      </c>
      <c r="E36" s="163">
        <f t="shared" si="2"/>
        <v>15.983146666666668</v>
      </c>
      <c r="F36" s="157">
        <v>21.795200000000001</v>
      </c>
    </row>
    <row r="37" spans="1:6">
      <c r="A37" s="164" t="s">
        <v>735</v>
      </c>
      <c r="B37" s="165">
        <v>0.6</v>
      </c>
      <c r="C37" s="162">
        <f t="shared" si="0"/>
        <v>12.610079999999998</v>
      </c>
      <c r="D37" s="162">
        <f t="shared" si="1"/>
        <v>8.4067199999999982</v>
      </c>
      <c r="E37" s="163">
        <f t="shared" si="2"/>
        <v>11.208959999999998</v>
      </c>
      <c r="F37" s="157">
        <v>21.016799999999996</v>
      </c>
    </row>
    <row r="38" spans="1:6">
      <c r="A38" s="164" t="s">
        <v>736</v>
      </c>
      <c r="B38" s="165">
        <v>0.6</v>
      </c>
      <c r="C38" s="162">
        <f t="shared" si="0"/>
        <v>12.610079999999998</v>
      </c>
      <c r="D38" s="162">
        <f t="shared" si="1"/>
        <v>8.4067199999999982</v>
      </c>
      <c r="E38" s="163">
        <f t="shared" si="2"/>
        <v>11.208959999999998</v>
      </c>
      <c r="F38" s="157">
        <v>21.016799999999996</v>
      </c>
    </row>
    <row r="39" spans="1:6">
      <c r="A39" s="166" t="s">
        <v>737</v>
      </c>
      <c r="B39" s="165">
        <v>0.6</v>
      </c>
      <c r="C39" s="162">
        <f t="shared" si="0"/>
        <v>12.610079999999998</v>
      </c>
      <c r="D39" s="162">
        <f t="shared" si="1"/>
        <v>8.4067199999999982</v>
      </c>
      <c r="E39" s="163">
        <f t="shared" si="2"/>
        <v>11.208959999999998</v>
      </c>
      <c r="F39" s="157">
        <v>21.016799999999996</v>
      </c>
    </row>
    <row r="40" spans="1:6">
      <c r="A40" s="164" t="s">
        <v>738</v>
      </c>
      <c r="B40" s="165">
        <v>0.6</v>
      </c>
      <c r="C40" s="162">
        <f t="shared" si="0"/>
        <v>15.679199999999998</v>
      </c>
      <c r="D40" s="162">
        <f t="shared" si="1"/>
        <v>10.4528</v>
      </c>
      <c r="E40" s="163">
        <f t="shared" si="2"/>
        <v>13.937066666666666</v>
      </c>
      <c r="F40" s="157">
        <v>26.131999999999998</v>
      </c>
    </row>
    <row r="41" spans="1:6">
      <c r="A41" s="164" t="s">
        <v>739</v>
      </c>
      <c r="B41" s="165">
        <v>0.6</v>
      </c>
      <c r="C41" s="162">
        <f t="shared" si="0"/>
        <v>15.679199999999998</v>
      </c>
      <c r="D41" s="162">
        <f t="shared" si="1"/>
        <v>10.4528</v>
      </c>
      <c r="E41" s="163">
        <f t="shared" si="2"/>
        <v>13.937066666666666</v>
      </c>
      <c r="F41" s="157">
        <v>26.131999999999998</v>
      </c>
    </row>
    <row r="42" spans="1:6">
      <c r="A42" s="166" t="s">
        <v>740</v>
      </c>
      <c r="B42" s="165">
        <v>0.6</v>
      </c>
      <c r="C42" s="162">
        <f t="shared" si="0"/>
        <v>15.679199999999998</v>
      </c>
      <c r="D42" s="162">
        <f t="shared" si="1"/>
        <v>10.4528</v>
      </c>
      <c r="E42" s="163">
        <f t="shared" si="2"/>
        <v>13.937066666666666</v>
      </c>
      <c r="F42" s="157">
        <v>26.131999999999998</v>
      </c>
    </row>
    <row r="43" spans="1:6">
      <c r="A43" s="166" t="s">
        <v>741</v>
      </c>
      <c r="B43" s="165">
        <v>0.6</v>
      </c>
      <c r="C43" s="162">
        <f t="shared" si="0"/>
        <v>22.618079999999996</v>
      </c>
      <c r="D43" s="162">
        <f t="shared" si="1"/>
        <v>15.078720000000001</v>
      </c>
      <c r="E43" s="163">
        <f t="shared" si="2"/>
        <v>20.104960000000002</v>
      </c>
      <c r="F43" s="157">
        <v>37.696799999999996</v>
      </c>
    </row>
    <row r="44" spans="1:6">
      <c r="A44" s="164" t="s">
        <v>742</v>
      </c>
      <c r="B44" s="165">
        <v>0.6</v>
      </c>
      <c r="C44" s="162">
        <f t="shared" si="0"/>
        <v>22.618079999999996</v>
      </c>
      <c r="D44" s="162">
        <f t="shared" si="1"/>
        <v>15.078720000000001</v>
      </c>
      <c r="E44" s="163">
        <f t="shared" si="2"/>
        <v>20.104960000000002</v>
      </c>
      <c r="F44" s="157">
        <v>37.696799999999996</v>
      </c>
    </row>
    <row r="45" spans="1:6">
      <c r="A45" s="164" t="s">
        <v>743</v>
      </c>
      <c r="B45" s="165">
        <v>0.6</v>
      </c>
      <c r="C45" s="162">
        <f t="shared" si="0"/>
        <v>22.618079999999996</v>
      </c>
      <c r="D45" s="162">
        <f t="shared" si="1"/>
        <v>15.078720000000001</v>
      </c>
      <c r="E45" s="163">
        <f t="shared" si="2"/>
        <v>20.104960000000002</v>
      </c>
      <c r="F45" s="157">
        <v>37.696799999999996</v>
      </c>
    </row>
    <row r="46" spans="1:6">
      <c r="A46" s="164" t="s">
        <v>744</v>
      </c>
      <c r="B46" s="165">
        <v>0.6</v>
      </c>
      <c r="C46" s="162">
        <f t="shared" si="0"/>
        <v>22.618079999999996</v>
      </c>
      <c r="D46" s="162">
        <f t="shared" si="1"/>
        <v>15.078720000000001</v>
      </c>
      <c r="E46" s="163">
        <f t="shared" si="2"/>
        <v>20.104960000000002</v>
      </c>
      <c r="F46" s="157">
        <v>37.696799999999996</v>
      </c>
    </row>
    <row r="47" spans="1:6">
      <c r="A47" s="164" t="s">
        <v>745</v>
      </c>
      <c r="B47" s="165">
        <v>0.6</v>
      </c>
      <c r="C47" s="162">
        <f t="shared" si="0"/>
        <v>36.629280000000001</v>
      </c>
      <c r="D47" s="162">
        <f t="shared" si="1"/>
        <v>24.419519999999999</v>
      </c>
      <c r="E47" s="163">
        <f t="shared" si="2"/>
        <v>32.559359999999998</v>
      </c>
      <c r="F47" s="157">
        <v>61.0488</v>
      </c>
    </row>
    <row r="48" spans="1:6">
      <c r="A48" s="166" t="s">
        <v>746</v>
      </c>
      <c r="B48" s="165">
        <v>0.6</v>
      </c>
      <c r="C48" s="162">
        <f t="shared" si="0"/>
        <v>36.629280000000001</v>
      </c>
      <c r="D48" s="162">
        <f t="shared" si="1"/>
        <v>24.419519999999999</v>
      </c>
      <c r="E48" s="163">
        <f t="shared" si="2"/>
        <v>32.559359999999998</v>
      </c>
      <c r="F48" s="157">
        <v>61.0488</v>
      </c>
    </row>
    <row r="49" spans="1:6">
      <c r="A49" s="166" t="s">
        <v>747</v>
      </c>
      <c r="B49" s="165">
        <v>0.6</v>
      </c>
      <c r="C49" s="162">
        <f t="shared" si="0"/>
        <v>36.629280000000001</v>
      </c>
      <c r="D49" s="162">
        <f t="shared" si="1"/>
        <v>24.419519999999999</v>
      </c>
      <c r="E49" s="163">
        <f t="shared" si="2"/>
        <v>32.559359999999998</v>
      </c>
      <c r="F49" s="157">
        <v>61.0488</v>
      </c>
    </row>
    <row r="50" spans="1:6">
      <c r="A50" s="166" t="s">
        <v>748</v>
      </c>
      <c r="B50" s="165">
        <v>0.6</v>
      </c>
      <c r="C50" s="162">
        <f t="shared" si="0"/>
        <v>36.629280000000001</v>
      </c>
      <c r="D50" s="162">
        <f t="shared" si="1"/>
        <v>24.419519999999999</v>
      </c>
      <c r="E50" s="163">
        <f t="shared" si="2"/>
        <v>32.559359999999998</v>
      </c>
      <c r="F50" s="157">
        <v>61.0488</v>
      </c>
    </row>
    <row r="51" spans="1:6">
      <c r="A51" s="166" t="s">
        <v>749</v>
      </c>
      <c r="B51" s="165">
        <v>0.6</v>
      </c>
      <c r="C51" s="162">
        <f t="shared" si="0"/>
        <v>52.3752</v>
      </c>
      <c r="D51" s="162">
        <f t="shared" si="1"/>
        <v>34.916800000000002</v>
      </c>
      <c r="E51" s="163">
        <f t="shared" si="2"/>
        <v>46.555733333333336</v>
      </c>
      <c r="F51" s="157">
        <v>87.292000000000002</v>
      </c>
    </row>
    <row r="52" spans="1:6">
      <c r="A52" s="164" t="s">
        <v>750</v>
      </c>
      <c r="B52" s="165">
        <v>0.6</v>
      </c>
      <c r="C52" s="162">
        <f t="shared" si="0"/>
        <v>52.3752</v>
      </c>
      <c r="D52" s="162">
        <f t="shared" si="1"/>
        <v>34.916800000000002</v>
      </c>
      <c r="E52" s="163">
        <f t="shared" si="2"/>
        <v>46.555733333333336</v>
      </c>
      <c r="F52" s="157">
        <v>87.292000000000002</v>
      </c>
    </row>
    <row r="53" spans="1:6">
      <c r="A53" s="164" t="s">
        <v>751</v>
      </c>
      <c r="B53" s="165">
        <v>0.6</v>
      </c>
      <c r="C53" s="162">
        <f t="shared" si="0"/>
        <v>52.3752</v>
      </c>
      <c r="D53" s="162">
        <f t="shared" si="1"/>
        <v>34.916800000000002</v>
      </c>
      <c r="E53" s="163">
        <f t="shared" si="2"/>
        <v>46.555733333333336</v>
      </c>
      <c r="F53" s="157">
        <v>87.292000000000002</v>
      </c>
    </row>
    <row r="54" spans="1:6">
      <c r="A54" s="164" t="s">
        <v>752</v>
      </c>
      <c r="B54" s="165">
        <v>0.6</v>
      </c>
      <c r="C54" s="162">
        <f t="shared" si="0"/>
        <v>52.3752</v>
      </c>
      <c r="D54" s="162">
        <f t="shared" si="1"/>
        <v>34.916800000000002</v>
      </c>
      <c r="E54" s="163">
        <f t="shared" si="2"/>
        <v>46.555733333333336</v>
      </c>
      <c r="F54" s="157">
        <v>87.292000000000002</v>
      </c>
    </row>
    <row r="55" spans="1:6">
      <c r="A55" s="167" t="s">
        <v>753</v>
      </c>
      <c r="B55" s="161">
        <v>0.45</v>
      </c>
      <c r="C55" s="162">
        <f t="shared" si="0"/>
        <v>63.075420000000001</v>
      </c>
      <c r="D55" s="162">
        <f t="shared" si="1"/>
        <v>77.092179999999985</v>
      </c>
      <c r="E55" s="163">
        <f t="shared" si="2"/>
        <v>102.78957333333331</v>
      </c>
      <c r="F55" s="157">
        <v>140.16759999999999</v>
      </c>
    </row>
    <row r="56" spans="1:6">
      <c r="A56" s="167" t="s">
        <v>754</v>
      </c>
      <c r="B56" s="161">
        <v>0.45</v>
      </c>
      <c r="C56" s="162">
        <f t="shared" si="0"/>
        <v>63.075420000000001</v>
      </c>
      <c r="D56" s="162">
        <f t="shared" si="1"/>
        <v>77.092179999999985</v>
      </c>
      <c r="E56" s="163">
        <f t="shared" si="2"/>
        <v>102.78957333333331</v>
      </c>
      <c r="F56" s="157">
        <v>140.16759999999999</v>
      </c>
    </row>
    <row r="57" spans="1:6">
      <c r="A57" s="160" t="s">
        <v>755</v>
      </c>
      <c r="B57" s="161">
        <v>0.45</v>
      </c>
      <c r="C57" s="162">
        <f t="shared" si="0"/>
        <v>63.075420000000001</v>
      </c>
      <c r="D57" s="162">
        <f t="shared" si="1"/>
        <v>77.092179999999985</v>
      </c>
      <c r="E57" s="163">
        <f t="shared" si="2"/>
        <v>102.78957333333331</v>
      </c>
      <c r="F57" s="157">
        <v>140.16759999999999</v>
      </c>
    </row>
    <row r="58" spans="1:6">
      <c r="A58" s="160" t="s">
        <v>756</v>
      </c>
      <c r="B58" s="161">
        <v>0.45</v>
      </c>
      <c r="C58" s="162">
        <f t="shared" si="0"/>
        <v>63.075420000000001</v>
      </c>
      <c r="D58" s="162">
        <f t="shared" si="1"/>
        <v>77.092179999999985</v>
      </c>
      <c r="E58" s="163">
        <f t="shared" si="2"/>
        <v>102.78957333333331</v>
      </c>
      <c r="F58" s="157">
        <v>140.16759999999999</v>
      </c>
    </row>
    <row r="59" spans="1:6">
      <c r="A59" s="167" t="s">
        <v>757</v>
      </c>
      <c r="B59" s="161">
        <v>0.45</v>
      </c>
      <c r="C59" s="162">
        <f t="shared" si="0"/>
        <v>112.64004</v>
      </c>
      <c r="D59" s="162">
        <f t="shared" si="1"/>
        <v>137.67115999999999</v>
      </c>
      <c r="E59" s="163">
        <f t="shared" si="2"/>
        <v>183.56154666666666</v>
      </c>
      <c r="F59" s="157">
        <v>250.31119999999999</v>
      </c>
    </row>
    <row r="60" spans="1:6">
      <c r="A60" s="160" t="s">
        <v>758</v>
      </c>
      <c r="B60" s="161">
        <v>0.45</v>
      </c>
      <c r="C60" s="162">
        <f t="shared" si="0"/>
        <v>112.64004</v>
      </c>
      <c r="D60" s="162">
        <f t="shared" si="1"/>
        <v>137.67115999999999</v>
      </c>
      <c r="E60" s="163">
        <f t="shared" si="2"/>
        <v>183.56154666666666</v>
      </c>
      <c r="F60" s="157">
        <v>250.31119999999999</v>
      </c>
    </row>
    <row r="61" spans="1:6">
      <c r="A61" s="160" t="s">
        <v>759</v>
      </c>
      <c r="B61" s="161">
        <v>0.45</v>
      </c>
      <c r="C61" s="162">
        <f t="shared" si="0"/>
        <v>112.64004</v>
      </c>
      <c r="D61" s="162">
        <f t="shared" si="1"/>
        <v>137.67115999999999</v>
      </c>
      <c r="E61" s="163">
        <f t="shared" si="2"/>
        <v>183.56154666666666</v>
      </c>
      <c r="F61" s="157">
        <v>250.31119999999999</v>
      </c>
    </row>
    <row r="62" spans="1:6">
      <c r="A62" s="160" t="s">
        <v>760</v>
      </c>
      <c r="B62" s="161">
        <v>0.45</v>
      </c>
      <c r="C62" s="162">
        <f t="shared" si="0"/>
        <v>129.50352000000001</v>
      </c>
      <c r="D62" s="162">
        <f t="shared" si="1"/>
        <v>158.28207999999998</v>
      </c>
      <c r="E62" s="163">
        <f t="shared" si="2"/>
        <v>211.04277333333332</v>
      </c>
      <c r="F62" s="157">
        <v>287.78559999999999</v>
      </c>
    </row>
    <row r="63" spans="1:6">
      <c r="A63" s="160" t="s">
        <v>761</v>
      </c>
      <c r="B63" s="161">
        <v>0.45</v>
      </c>
      <c r="C63" s="162">
        <f t="shared" si="0"/>
        <v>129.50352000000001</v>
      </c>
      <c r="D63" s="162">
        <f t="shared" si="1"/>
        <v>158.28207999999998</v>
      </c>
      <c r="E63" s="163">
        <f t="shared" si="2"/>
        <v>211.04277333333332</v>
      </c>
      <c r="F63" s="157">
        <v>287.78559999999999</v>
      </c>
    </row>
    <row r="64" spans="1:6">
      <c r="A64" s="160" t="s">
        <v>762</v>
      </c>
      <c r="B64" s="161">
        <v>0.45</v>
      </c>
      <c r="C64" s="162">
        <f t="shared" si="0"/>
        <v>129.50352000000001</v>
      </c>
      <c r="D64" s="162">
        <f t="shared" si="1"/>
        <v>158.28207999999998</v>
      </c>
      <c r="E64" s="163">
        <f t="shared" si="2"/>
        <v>211.04277333333332</v>
      </c>
      <c r="F64" s="157">
        <v>287.78559999999999</v>
      </c>
    </row>
    <row r="65" spans="1:6">
      <c r="A65" s="160" t="s">
        <v>763</v>
      </c>
      <c r="B65" s="161">
        <v>0.45</v>
      </c>
      <c r="C65" s="162">
        <f t="shared" si="0"/>
        <v>150.06995999999998</v>
      </c>
      <c r="D65" s="162">
        <f t="shared" si="1"/>
        <v>183.41883999999999</v>
      </c>
      <c r="E65" s="163">
        <f t="shared" si="2"/>
        <v>244.55845333333332</v>
      </c>
      <c r="F65" s="157">
        <v>333.48879999999997</v>
      </c>
    </row>
    <row r="66" spans="1:6">
      <c r="A66" s="160" t="s">
        <v>764</v>
      </c>
      <c r="B66" s="161">
        <v>0.45</v>
      </c>
      <c r="C66" s="162">
        <f t="shared" si="0"/>
        <v>263.21040000000005</v>
      </c>
      <c r="D66" s="162">
        <f t="shared" si="1"/>
        <v>321.70159999999998</v>
      </c>
      <c r="E66" s="163">
        <f t="shared" si="2"/>
        <v>428.93546666666663</v>
      </c>
      <c r="F66" s="157">
        <v>584.91200000000003</v>
      </c>
    </row>
    <row r="67" spans="1:6">
      <c r="A67" s="167" t="s">
        <v>765</v>
      </c>
      <c r="B67" s="161">
        <v>0.45</v>
      </c>
      <c r="C67" s="162">
        <f t="shared" si="0"/>
        <v>263.21040000000005</v>
      </c>
      <c r="D67" s="162">
        <f t="shared" si="1"/>
        <v>321.70159999999998</v>
      </c>
      <c r="E67" s="163">
        <f t="shared" si="2"/>
        <v>428.93546666666663</v>
      </c>
      <c r="F67" s="157">
        <v>584.91200000000003</v>
      </c>
    </row>
    <row r="68" spans="1:6">
      <c r="A68" s="167" t="s">
        <v>766</v>
      </c>
      <c r="B68" s="161">
        <v>0.45</v>
      </c>
      <c r="C68" s="162">
        <f t="shared" ref="C68:C131" si="3">(F68*B68)</f>
        <v>263.21040000000005</v>
      </c>
      <c r="D68" s="162">
        <f t="shared" ref="D68:D131" si="4">F68-C68</f>
        <v>321.70159999999998</v>
      </c>
      <c r="E68" s="163">
        <f t="shared" ref="E68:E131" si="5">D68/0.75</f>
        <v>428.93546666666663</v>
      </c>
      <c r="F68" s="157">
        <v>584.91200000000003</v>
      </c>
    </row>
    <row r="69" spans="1:6">
      <c r="A69" s="292" t="s">
        <v>767</v>
      </c>
      <c r="B69" s="292"/>
      <c r="C69" s="292"/>
      <c r="D69" s="162">
        <f t="shared" si="4"/>
        <v>0</v>
      </c>
      <c r="E69" s="163">
        <f t="shared" si="5"/>
        <v>0</v>
      </c>
      <c r="F69" s="157"/>
    </row>
    <row r="70" spans="1:6">
      <c r="A70" s="160" t="s">
        <v>768</v>
      </c>
      <c r="B70" s="161">
        <v>0.45</v>
      </c>
      <c r="C70" s="162">
        <f t="shared" si="3"/>
        <v>20.916720000000002</v>
      </c>
      <c r="D70" s="162">
        <f t="shared" si="4"/>
        <v>25.564879999999999</v>
      </c>
      <c r="E70" s="163">
        <f t="shared" si="5"/>
        <v>34.086506666666665</v>
      </c>
      <c r="F70" s="157">
        <v>46.4816</v>
      </c>
    </row>
    <row r="71" spans="1:6">
      <c r="A71" s="160" t="s">
        <v>769</v>
      </c>
      <c r="B71" s="161">
        <v>0.45</v>
      </c>
      <c r="C71" s="162">
        <f t="shared" si="3"/>
        <v>21.417119999999997</v>
      </c>
      <c r="D71" s="162">
        <f t="shared" si="4"/>
        <v>26.176479999999998</v>
      </c>
      <c r="E71" s="163">
        <f t="shared" si="5"/>
        <v>34.901973333333331</v>
      </c>
      <c r="F71" s="157">
        <v>47.593599999999995</v>
      </c>
    </row>
    <row r="72" spans="1:6">
      <c r="A72" s="164" t="s">
        <v>770</v>
      </c>
      <c r="B72" s="165">
        <v>0.6</v>
      </c>
      <c r="C72" s="162">
        <f t="shared" si="3"/>
        <v>23.885759999999998</v>
      </c>
      <c r="D72" s="162">
        <f t="shared" si="4"/>
        <v>15.923839999999998</v>
      </c>
      <c r="E72" s="163">
        <f t="shared" si="5"/>
        <v>21.231786666666665</v>
      </c>
      <c r="F72" s="157">
        <v>39.809599999999996</v>
      </c>
    </row>
    <row r="73" spans="1:6">
      <c r="A73" s="164" t="s">
        <v>771</v>
      </c>
      <c r="B73" s="165">
        <v>0.6</v>
      </c>
      <c r="C73" s="162">
        <f t="shared" si="3"/>
        <v>33.226559999999992</v>
      </c>
      <c r="D73" s="162">
        <f t="shared" si="4"/>
        <v>22.151040000000002</v>
      </c>
      <c r="E73" s="163">
        <f t="shared" si="5"/>
        <v>29.534720000000004</v>
      </c>
      <c r="F73" s="157">
        <v>55.377599999999994</v>
      </c>
    </row>
    <row r="74" spans="1:6">
      <c r="A74" s="164" t="s">
        <v>772</v>
      </c>
      <c r="B74" s="165">
        <v>0.6</v>
      </c>
      <c r="C74" s="162">
        <f t="shared" si="3"/>
        <v>33.226559999999992</v>
      </c>
      <c r="D74" s="162">
        <f t="shared" si="4"/>
        <v>22.151040000000002</v>
      </c>
      <c r="E74" s="163">
        <f t="shared" si="5"/>
        <v>29.534720000000004</v>
      </c>
      <c r="F74" s="157">
        <v>55.377599999999994</v>
      </c>
    </row>
    <row r="75" spans="1:6">
      <c r="A75" s="164" t="s">
        <v>773</v>
      </c>
      <c r="B75" s="165">
        <v>0.6</v>
      </c>
      <c r="C75" s="162">
        <f t="shared" si="3"/>
        <v>53.242559999999997</v>
      </c>
      <c r="D75" s="162">
        <f t="shared" si="4"/>
        <v>35.495040000000003</v>
      </c>
      <c r="E75" s="163">
        <f t="shared" si="5"/>
        <v>47.326720000000002</v>
      </c>
      <c r="F75" s="157">
        <v>88.7376</v>
      </c>
    </row>
    <row r="76" spans="1:6">
      <c r="A76" s="164" t="s">
        <v>774</v>
      </c>
      <c r="B76" s="165">
        <v>0.6</v>
      </c>
      <c r="C76" s="162">
        <f t="shared" si="3"/>
        <v>53.242559999999997</v>
      </c>
      <c r="D76" s="162">
        <f t="shared" si="4"/>
        <v>35.495040000000003</v>
      </c>
      <c r="E76" s="163">
        <f t="shared" si="5"/>
        <v>47.326720000000002</v>
      </c>
      <c r="F76" s="157">
        <v>88.7376</v>
      </c>
    </row>
    <row r="77" spans="1:6">
      <c r="A77" s="164" t="s">
        <v>775</v>
      </c>
      <c r="B77" s="165">
        <v>0.6</v>
      </c>
      <c r="C77" s="162">
        <f t="shared" si="3"/>
        <v>53.242559999999997</v>
      </c>
      <c r="D77" s="162">
        <f t="shared" si="4"/>
        <v>35.495040000000003</v>
      </c>
      <c r="E77" s="163">
        <f t="shared" si="5"/>
        <v>47.326720000000002</v>
      </c>
      <c r="F77" s="157">
        <v>88.7376</v>
      </c>
    </row>
    <row r="78" spans="1:6">
      <c r="A78" s="164" t="s">
        <v>776</v>
      </c>
      <c r="B78" s="165">
        <v>0.6</v>
      </c>
      <c r="C78" s="162">
        <f t="shared" si="3"/>
        <v>73.325280000000006</v>
      </c>
      <c r="D78" s="162">
        <f t="shared" si="4"/>
        <v>48.883520000000004</v>
      </c>
      <c r="E78" s="163">
        <f t="shared" si="5"/>
        <v>65.178026666666668</v>
      </c>
      <c r="F78" s="157">
        <v>122.20880000000001</v>
      </c>
    </row>
    <row r="79" spans="1:6">
      <c r="A79" s="164" t="s">
        <v>777</v>
      </c>
      <c r="B79" s="165">
        <v>0.6</v>
      </c>
      <c r="C79" s="162">
        <f t="shared" si="3"/>
        <v>73.325280000000006</v>
      </c>
      <c r="D79" s="162">
        <f t="shared" si="4"/>
        <v>48.883520000000004</v>
      </c>
      <c r="E79" s="163">
        <f t="shared" si="5"/>
        <v>65.178026666666668</v>
      </c>
      <c r="F79" s="157">
        <v>122.20880000000001</v>
      </c>
    </row>
    <row r="80" spans="1:6">
      <c r="A80" s="164" t="s">
        <v>778</v>
      </c>
      <c r="B80" s="165">
        <v>0.6</v>
      </c>
      <c r="C80" s="162">
        <f t="shared" si="3"/>
        <v>73.325280000000006</v>
      </c>
      <c r="D80" s="162">
        <f t="shared" si="4"/>
        <v>48.883520000000004</v>
      </c>
      <c r="E80" s="163">
        <f t="shared" si="5"/>
        <v>65.178026666666668</v>
      </c>
      <c r="F80" s="157">
        <v>122.20880000000001</v>
      </c>
    </row>
    <row r="81" spans="1:6">
      <c r="A81" s="167" t="s">
        <v>779</v>
      </c>
      <c r="B81" s="161">
        <v>0.45</v>
      </c>
      <c r="C81" s="162">
        <f t="shared" si="3"/>
        <v>86.594220000000007</v>
      </c>
      <c r="D81" s="162">
        <f t="shared" si="4"/>
        <v>105.83738</v>
      </c>
      <c r="E81" s="163">
        <f t="shared" si="5"/>
        <v>141.11650666666665</v>
      </c>
      <c r="F81" s="157">
        <v>192.4316</v>
      </c>
    </row>
    <row r="82" spans="1:6">
      <c r="A82" s="167" t="s">
        <v>780</v>
      </c>
      <c r="B82" s="161">
        <v>0.45</v>
      </c>
      <c r="C82" s="162">
        <f t="shared" si="3"/>
        <v>86.594220000000007</v>
      </c>
      <c r="D82" s="162">
        <f t="shared" si="4"/>
        <v>105.83738</v>
      </c>
      <c r="E82" s="163">
        <f t="shared" si="5"/>
        <v>141.11650666666665</v>
      </c>
      <c r="F82" s="157">
        <v>192.4316</v>
      </c>
    </row>
    <row r="83" spans="1:6">
      <c r="A83" s="167" t="s">
        <v>781</v>
      </c>
      <c r="B83" s="161">
        <v>0.45</v>
      </c>
      <c r="C83" s="162">
        <f t="shared" si="3"/>
        <v>86.594220000000007</v>
      </c>
      <c r="D83" s="162">
        <f t="shared" si="4"/>
        <v>105.83738</v>
      </c>
      <c r="E83" s="163">
        <f t="shared" si="5"/>
        <v>141.11650666666665</v>
      </c>
      <c r="F83" s="157">
        <v>192.4316</v>
      </c>
    </row>
    <row r="84" spans="1:6">
      <c r="A84" s="167" t="s">
        <v>782</v>
      </c>
      <c r="B84" s="161">
        <v>0.45</v>
      </c>
      <c r="C84" s="162">
        <f t="shared" si="3"/>
        <v>158.92704000000001</v>
      </c>
      <c r="D84" s="162">
        <f t="shared" si="4"/>
        <v>194.24415999999999</v>
      </c>
      <c r="E84" s="163">
        <f t="shared" si="5"/>
        <v>258.99221333333332</v>
      </c>
      <c r="F84" s="157">
        <v>353.1712</v>
      </c>
    </row>
    <row r="85" spans="1:6">
      <c r="A85" s="167" t="s">
        <v>783</v>
      </c>
      <c r="B85" s="161">
        <v>0.45</v>
      </c>
      <c r="C85" s="162">
        <f t="shared" si="3"/>
        <v>158.92704000000001</v>
      </c>
      <c r="D85" s="162">
        <f t="shared" si="4"/>
        <v>194.24415999999999</v>
      </c>
      <c r="E85" s="163">
        <f t="shared" si="5"/>
        <v>258.99221333333332</v>
      </c>
      <c r="F85" s="157">
        <v>353.1712</v>
      </c>
    </row>
    <row r="86" spans="1:6">
      <c r="A86" s="167" t="s">
        <v>784</v>
      </c>
      <c r="B86" s="161">
        <v>0.45</v>
      </c>
      <c r="C86" s="162">
        <f t="shared" si="3"/>
        <v>211.91940000000002</v>
      </c>
      <c r="D86" s="162">
        <f t="shared" si="4"/>
        <v>259.01260000000002</v>
      </c>
      <c r="E86" s="163">
        <f t="shared" si="5"/>
        <v>345.35013333333336</v>
      </c>
      <c r="F86" s="157">
        <v>470.93200000000002</v>
      </c>
    </row>
    <row r="87" spans="1:6">
      <c r="A87" s="167" t="s">
        <v>785</v>
      </c>
      <c r="B87" s="161">
        <v>0.45</v>
      </c>
      <c r="C87" s="162">
        <f t="shared" si="3"/>
        <v>211.91940000000002</v>
      </c>
      <c r="D87" s="162">
        <f t="shared" si="4"/>
        <v>259.01260000000002</v>
      </c>
      <c r="E87" s="163">
        <f t="shared" si="5"/>
        <v>345.35013333333336</v>
      </c>
      <c r="F87" s="157">
        <v>470.93200000000002</v>
      </c>
    </row>
    <row r="88" spans="1:6">
      <c r="A88" s="160" t="s">
        <v>786</v>
      </c>
      <c r="B88" s="161">
        <v>0.45</v>
      </c>
      <c r="C88" s="162">
        <f t="shared" si="3"/>
        <v>441.45287999999999</v>
      </c>
      <c r="D88" s="162">
        <f t="shared" si="4"/>
        <v>539.55351999999993</v>
      </c>
      <c r="E88" s="163">
        <f t="shared" si="5"/>
        <v>719.40469333333328</v>
      </c>
      <c r="F88" s="157">
        <v>981.00639999999999</v>
      </c>
    </row>
    <row r="89" spans="1:6">
      <c r="A89" s="167" t="s">
        <v>787</v>
      </c>
      <c r="B89" s="161">
        <v>0.45</v>
      </c>
      <c r="C89" s="162">
        <f t="shared" si="3"/>
        <v>441.45287999999999</v>
      </c>
      <c r="D89" s="162">
        <f t="shared" si="4"/>
        <v>539.55351999999993</v>
      </c>
      <c r="E89" s="163">
        <f t="shared" si="5"/>
        <v>719.40469333333328</v>
      </c>
      <c r="F89" s="157">
        <v>981.00639999999999</v>
      </c>
    </row>
    <row r="90" spans="1:6">
      <c r="A90" s="292" t="s">
        <v>788</v>
      </c>
      <c r="B90" s="292"/>
      <c r="C90" s="292"/>
      <c r="D90" s="162">
        <f t="shared" si="4"/>
        <v>0</v>
      </c>
      <c r="E90" s="163">
        <f t="shared" si="5"/>
        <v>0</v>
      </c>
      <c r="F90" s="157"/>
    </row>
    <row r="91" spans="1:6">
      <c r="A91" s="160" t="s">
        <v>789</v>
      </c>
      <c r="B91" s="161">
        <v>0.45</v>
      </c>
      <c r="C91" s="162">
        <f t="shared" si="3"/>
        <v>14.36148</v>
      </c>
      <c r="D91" s="162">
        <f t="shared" si="4"/>
        <v>17.55292</v>
      </c>
      <c r="E91" s="163">
        <f t="shared" si="5"/>
        <v>23.403893333333333</v>
      </c>
      <c r="F91" s="157">
        <v>31.914400000000001</v>
      </c>
    </row>
    <row r="92" spans="1:6">
      <c r="A92" s="164" t="s">
        <v>790</v>
      </c>
      <c r="B92" s="165">
        <v>0.6</v>
      </c>
      <c r="C92" s="162">
        <f t="shared" si="3"/>
        <v>22.184399999999997</v>
      </c>
      <c r="D92" s="162">
        <f t="shared" si="4"/>
        <v>14.7896</v>
      </c>
      <c r="E92" s="163">
        <f t="shared" si="5"/>
        <v>19.719466666666666</v>
      </c>
      <c r="F92" s="157">
        <v>36.973999999999997</v>
      </c>
    </row>
    <row r="93" spans="1:6">
      <c r="A93" s="164" t="s">
        <v>791</v>
      </c>
      <c r="B93" s="165">
        <v>0.6</v>
      </c>
      <c r="C93" s="162">
        <f t="shared" si="3"/>
        <v>26.621279999999999</v>
      </c>
      <c r="D93" s="162">
        <f t="shared" si="4"/>
        <v>17.747520000000002</v>
      </c>
      <c r="E93" s="163">
        <f t="shared" si="5"/>
        <v>23.663360000000001</v>
      </c>
      <c r="F93" s="157">
        <v>44.3688</v>
      </c>
    </row>
    <row r="94" spans="1:6">
      <c r="A94" s="164" t="s">
        <v>792</v>
      </c>
      <c r="B94" s="165">
        <v>0.6</v>
      </c>
      <c r="C94" s="162">
        <f t="shared" si="3"/>
        <v>32.626079999999995</v>
      </c>
      <c r="D94" s="162">
        <f t="shared" si="4"/>
        <v>21.750720000000001</v>
      </c>
      <c r="E94" s="163">
        <f t="shared" si="5"/>
        <v>29.000960000000003</v>
      </c>
      <c r="F94" s="157">
        <v>54.376799999999996</v>
      </c>
    </row>
    <row r="95" spans="1:6">
      <c r="A95" s="164" t="s">
        <v>793</v>
      </c>
      <c r="B95" s="165">
        <v>0.6</v>
      </c>
      <c r="C95" s="162">
        <f t="shared" si="3"/>
        <v>58.813679999999998</v>
      </c>
      <c r="D95" s="162">
        <f t="shared" si="4"/>
        <v>39.209120000000006</v>
      </c>
      <c r="E95" s="163">
        <f t="shared" si="5"/>
        <v>52.278826666666674</v>
      </c>
      <c r="F95" s="157">
        <v>98.022800000000004</v>
      </c>
    </row>
    <row r="96" spans="1:6">
      <c r="A96" s="164" t="s">
        <v>794</v>
      </c>
      <c r="B96" s="165">
        <v>0.6</v>
      </c>
      <c r="C96" s="162">
        <f t="shared" si="3"/>
        <v>80.631119999999996</v>
      </c>
      <c r="D96" s="162">
        <f t="shared" si="4"/>
        <v>53.754080000000002</v>
      </c>
      <c r="E96" s="163">
        <f t="shared" si="5"/>
        <v>71.672106666666664</v>
      </c>
      <c r="F96" s="157">
        <v>134.3852</v>
      </c>
    </row>
    <row r="97" spans="1:6">
      <c r="A97" s="167" t="s">
        <v>795</v>
      </c>
      <c r="B97" s="161">
        <v>0.45</v>
      </c>
      <c r="C97" s="162">
        <f t="shared" si="3"/>
        <v>93.324600000000004</v>
      </c>
      <c r="D97" s="162">
        <f t="shared" si="4"/>
        <v>114.0634</v>
      </c>
      <c r="E97" s="163">
        <f t="shared" si="5"/>
        <v>152.08453333333333</v>
      </c>
      <c r="F97" s="157">
        <v>207.38800000000001</v>
      </c>
    </row>
    <row r="98" spans="1:6">
      <c r="A98" s="167" t="s">
        <v>796</v>
      </c>
      <c r="B98" s="161">
        <v>0.45</v>
      </c>
      <c r="C98" s="162">
        <f t="shared" si="3"/>
        <v>174.88980000000001</v>
      </c>
      <c r="D98" s="162">
        <f t="shared" si="4"/>
        <v>213.7542</v>
      </c>
      <c r="E98" s="163">
        <f t="shared" si="5"/>
        <v>285.00560000000002</v>
      </c>
      <c r="F98" s="157">
        <v>388.64400000000001</v>
      </c>
    </row>
    <row r="99" spans="1:6">
      <c r="A99" s="167" t="s">
        <v>797</v>
      </c>
      <c r="B99" s="161">
        <v>0.45</v>
      </c>
      <c r="C99" s="162">
        <f t="shared" si="3"/>
        <v>216.12276</v>
      </c>
      <c r="D99" s="162">
        <f t="shared" si="4"/>
        <v>264.15003999999999</v>
      </c>
      <c r="E99" s="163">
        <f t="shared" si="5"/>
        <v>352.2000533333333</v>
      </c>
      <c r="F99" s="157">
        <v>480.27279999999996</v>
      </c>
    </row>
    <row r="100" spans="1:6">
      <c r="A100" s="167" t="s">
        <v>798</v>
      </c>
      <c r="B100" s="161">
        <v>0.45</v>
      </c>
      <c r="C100" s="162">
        <f t="shared" si="3"/>
        <v>461.61899999999997</v>
      </c>
      <c r="D100" s="162">
        <f t="shared" si="4"/>
        <v>564.20100000000002</v>
      </c>
      <c r="E100" s="163">
        <f t="shared" si="5"/>
        <v>752.26800000000003</v>
      </c>
      <c r="F100" s="157">
        <v>1025.82</v>
      </c>
    </row>
    <row r="101" spans="1:6">
      <c r="A101" s="292" t="s">
        <v>799</v>
      </c>
      <c r="B101" s="292"/>
      <c r="C101" s="292"/>
      <c r="D101" s="162">
        <f t="shared" si="4"/>
        <v>0</v>
      </c>
      <c r="E101" s="163">
        <f t="shared" si="5"/>
        <v>0</v>
      </c>
      <c r="F101" s="157"/>
    </row>
    <row r="102" spans="1:6">
      <c r="A102" s="160" t="s">
        <v>800</v>
      </c>
      <c r="B102" s="161">
        <v>0.45</v>
      </c>
      <c r="C102" s="162">
        <f t="shared" si="3"/>
        <v>15.887699999999999</v>
      </c>
      <c r="D102" s="162">
        <f t="shared" si="4"/>
        <v>19.418299999999999</v>
      </c>
      <c r="E102" s="163">
        <f t="shared" si="5"/>
        <v>25.891066666666664</v>
      </c>
      <c r="F102" s="157">
        <v>35.305999999999997</v>
      </c>
    </row>
    <row r="103" spans="1:6">
      <c r="A103" s="164" t="s">
        <v>801</v>
      </c>
      <c r="B103" s="165">
        <v>0.6</v>
      </c>
      <c r="C103" s="162">
        <f t="shared" si="3"/>
        <v>24.286079999999998</v>
      </c>
      <c r="D103" s="162">
        <f t="shared" si="4"/>
        <v>16.190719999999999</v>
      </c>
      <c r="E103" s="163">
        <f t="shared" si="5"/>
        <v>21.587626666666665</v>
      </c>
      <c r="F103" s="157">
        <v>40.476799999999997</v>
      </c>
    </row>
    <row r="104" spans="1:6">
      <c r="A104" s="164" t="s">
        <v>802</v>
      </c>
      <c r="B104" s="165">
        <v>0.6</v>
      </c>
      <c r="C104" s="162">
        <f t="shared" si="3"/>
        <v>29.623679999999997</v>
      </c>
      <c r="D104" s="162">
        <f t="shared" si="4"/>
        <v>19.749120000000001</v>
      </c>
      <c r="E104" s="163">
        <f t="shared" si="5"/>
        <v>26.332160000000002</v>
      </c>
      <c r="F104" s="157">
        <v>49.372799999999998</v>
      </c>
    </row>
    <row r="105" spans="1:6">
      <c r="A105" s="164" t="s">
        <v>803</v>
      </c>
      <c r="B105" s="165">
        <v>0.6</v>
      </c>
      <c r="C105" s="162">
        <f t="shared" si="3"/>
        <v>43.034399999999998</v>
      </c>
      <c r="D105" s="162">
        <f t="shared" si="4"/>
        <v>28.689600000000006</v>
      </c>
      <c r="E105" s="163">
        <f t="shared" si="5"/>
        <v>38.252800000000008</v>
      </c>
      <c r="F105" s="157">
        <v>71.724000000000004</v>
      </c>
    </row>
    <row r="106" spans="1:6">
      <c r="A106" s="164" t="s">
        <v>804</v>
      </c>
      <c r="B106" s="165">
        <v>0.6</v>
      </c>
      <c r="C106" s="162">
        <f t="shared" si="3"/>
        <v>69.32208</v>
      </c>
      <c r="D106" s="162">
        <f t="shared" si="4"/>
        <v>46.21472</v>
      </c>
      <c r="E106" s="163">
        <f t="shared" si="5"/>
        <v>61.619626666666669</v>
      </c>
      <c r="F106" s="157">
        <v>115.5368</v>
      </c>
    </row>
    <row r="107" spans="1:6">
      <c r="A107" s="164" t="s">
        <v>805</v>
      </c>
      <c r="B107" s="165">
        <v>0.6</v>
      </c>
      <c r="C107" s="162">
        <f t="shared" si="3"/>
        <v>102.68208</v>
      </c>
      <c r="D107" s="162">
        <f t="shared" si="4"/>
        <v>68.454719999999995</v>
      </c>
      <c r="E107" s="163">
        <f t="shared" si="5"/>
        <v>91.272959999999998</v>
      </c>
      <c r="F107" s="157">
        <v>171.13679999999999</v>
      </c>
    </row>
    <row r="108" spans="1:6">
      <c r="A108" s="167" t="s">
        <v>806</v>
      </c>
      <c r="B108" s="161">
        <v>0.45</v>
      </c>
      <c r="C108" s="162">
        <f t="shared" si="3"/>
        <v>86.469120000000004</v>
      </c>
      <c r="D108" s="162">
        <f t="shared" si="4"/>
        <v>105.68448000000001</v>
      </c>
      <c r="E108" s="163">
        <f t="shared" si="5"/>
        <v>140.91264000000001</v>
      </c>
      <c r="F108" s="157">
        <v>192.15360000000001</v>
      </c>
    </row>
    <row r="109" spans="1:6">
      <c r="A109" s="167" t="s">
        <v>807</v>
      </c>
      <c r="B109" s="161">
        <v>0.45</v>
      </c>
      <c r="C109" s="162">
        <f t="shared" si="3"/>
        <v>170.56134000000003</v>
      </c>
      <c r="D109" s="162">
        <f t="shared" si="4"/>
        <v>208.46386000000001</v>
      </c>
      <c r="E109" s="163">
        <f t="shared" si="5"/>
        <v>277.95181333333335</v>
      </c>
      <c r="F109" s="157">
        <v>379.02520000000004</v>
      </c>
    </row>
    <row r="110" spans="1:6">
      <c r="A110" s="167" t="s">
        <v>808</v>
      </c>
      <c r="B110" s="161">
        <v>0.45</v>
      </c>
      <c r="C110" s="162">
        <f t="shared" si="3"/>
        <v>210.21804</v>
      </c>
      <c r="D110" s="162">
        <f t="shared" si="4"/>
        <v>256.93316000000004</v>
      </c>
      <c r="E110" s="163">
        <f t="shared" si="5"/>
        <v>342.57754666666671</v>
      </c>
      <c r="F110" s="157">
        <v>467.15120000000002</v>
      </c>
    </row>
    <row r="111" spans="1:6">
      <c r="A111" s="167" t="s">
        <v>809</v>
      </c>
      <c r="B111" s="161">
        <v>0.45</v>
      </c>
      <c r="C111" s="162">
        <f t="shared" si="3"/>
        <v>434.72249999999997</v>
      </c>
      <c r="D111" s="162">
        <f t="shared" si="4"/>
        <v>531.32749999999999</v>
      </c>
      <c r="E111" s="163">
        <f t="shared" si="5"/>
        <v>708.43666666666661</v>
      </c>
      <c r="F111" s="157">
        <v>966.05</v>
      </c>
    </row>
    <row r="112" spans="1:6">
      <c r="A112" s="292" t="s">
        <v>810</v>
      </c>
      <c r="B112" s="292"/>
      <c r="C112" s="292"/>
      <c r="D112" s="162">
        <f t="shared" si="4"/>
        <v>0</v>
      </c>
      <c r="E112" s="163">
        <f t="shared" si="5"/>
        <v>0</v>
      </c>
      <c r="F112" s="157"/>
    </row>
    <row r="113" spans="1:6">
      <c r="A113" s="160" t="s">
        <v>811</v>
      </c>
      <c r="B113" s="161">
        <v>0.45</v>
      </c>
      <c r="C113" s="162">
        <f t="shared" si="3"/>
        <v>13.110480000000001</v>
      </c>
      <c r="D113" s="162">
        <f t="shared" si="4"/>
        <v>16.023919999999997</v>
      </c>
      <c r="E113" s="163">
        <f t="shared" si="5"/>
        <v>21.365226666666661</v>
      </c>
      <c r="F113" s="157">
        <v>29.134399999999999</v>
      </c>
    </row>
    <row r="114" spans="1:6">
      <c r="A114" s="160" t="s">
        <v>812</v>
      </c>
      <c r="B114" s="161">
        <v>0.45</v>
      </c>
      <c r="C114" s="162">
        <f t="shared" si="3"/>
        <v>13.110480000000001</v>
      </c>
      <c r="D114" s="162">
        <f t="shared" si="4"/>
        <v>16.023919999999997</v>
      </c>
      <c r="E114" s="163">
        <f t="shared" si="5"/>
        <v>21.365226666666661</v>
      </c>
      <c r="F114" s="157">
        <v>29.134399999999999</v>
      </c>
    </row>
    <row r="115" spans="1:6">
      <c r="A115" s="164" t="s">
        <v>813</v>
      </c>
      <c r="B115" s="165">
        <v>0.6</v>
      </c>
      <c r="C115" s="162">
        <f t="shared" si="3"/>
        <v>16.579920000000001</v>
      </c>
      <c r="D115" s="162">
        <f t="shared" si="4"/>
        <v>11.053280000000001</v>
      </c>
      <c r="E115" s="163">
        <f t="shared" si="5"/>
        <v>14.737706666666668</v>
      </c>
      <c r="F115" s="157">
        <v>27.633200000000002</v>
      </c>
    </row>
    <row r="116" spans="1:6">
      <c r="A116" s="164" t="s">
        <v>814</v>
      </c>
      <c r="B116" s="165">
        <v>0.6</v>
      </c>
      <c r="C116" s="162">
        <f t="shared" si="3"/>
        <v>16.579920000000001</v>
      </c>
      <c r="D116" s="162">
        <f t="shared" si="4"/>
        <v>11.053280000000001</v>
      </c>
      <c r="E116" s="163">
        <f t="shared" si="5"/>
        <v>14.737706666666668</v>
      </c>
      <c r="F116" s="157">
        <v>27.633200000000002</v>
      </c>
    </row>
    <row r="117" spans="1:6">
      <c r="A117" s="164" t="s">
        <v>815</v>
      </c>
      <c r="B117" s="165">
        <v>0.6</v>
      </c>
      <c r="C117" s="162">
        <f t="shared" si="3"/>
        <v>21.0168</v>
      </c>
      <c r="D117" s="162">
        <f t="shared" si="4"/>
        <v>14.011199999999999</v>
      </c>
      <c r="E117" s="163">
        <f t="shared" si="5"/>
        <v>18.6816</v>
      </c>
      <c r="F117" s="157">
        <v>35.027999999999999</v>
      </c>
    </row>
    <row r="118" spans="1:6">
      <c r="A118" s="164" t="s">
        <v>816</v>
      </c>
      <c r="B118" s="165">
        <v>0.6</v>
      </c>
      <c r="C118" s="162">
        <f t="shared" si="3"/>
        <v>21.0168</v>
      </c>
      <c r="D118" s="162">
        <f t="shared" si="4"/>
        <v>14.011199999999999</v>
      </c>
      <c r="E118" s="163">
        <f t="shared" si="5"/>
        <v>18.6816</v>
      </c>
      <c r="F118" s="157">
        <v>35.027999999999999</v>
      </c>
    </row>
    <row r="119" spans="1:6">
      <c r="A119" s="164" t="s">
        <v>817</v>
      </c>
      <c r="B119" s="165">
        <v>0.6</v>
      </c>
      <c r="C119" s="162">
        <f t="shared" si="3"/>
        <v>21.0168</v>
      </c>
      <c r="D119" s="162">
        <f t="shared" si="4"/>
        <v>14.011199999999999</v>
      </c>
      <c r="E119" s="163">
        <f t="shared" si="5"/>
        <v>18.6816</v>
      </c>
      <c r="F119" s="157">
        <v>35.027999999999999</v>
      </c>
    </row>
    <row r="120" spans="1:6">
      <c r="A120" s="164" t="s">
        <v>818</v>
      </c>
      <c r="B120" s="165">
        <v>0.6</v>
      </c>
      <c r="C120" s="162">
        <f t="shared" si="3"/>
        <v>37.296479999999995</v>
      </c>
      <c r="D120" s="162">
        <f t="shared" si="4"/>
        <v>24.864319999999999</v>
      </c>
      <c r="E120" s="163">
        <f t="shared" si="5"/>
        <v>33.152426666666663</v>
      </c>
      <c r="F120" s="157">
        <v>62.160799999999995</v>
      </c>
    </row>
    <row r="121" spans="1:6">
      <c r="A121" s="164" t="s">
        <v>819</v>
      </c>
      <c r="B121" s="165">
        <v>0.6</v>
      </c>
      <c r="C121" s="162">
        <f t="shared" si="3"/>
        <v>37.296479999999995</v>
      </c>
      <c r="D121" s="162">
        <f t="shared" si="4"/>
        <v>24.864319999999999</v>
      </c>
      <c r="E121" s="163">
        <f t="shared" si="5"/>
        <v>33.152426666666663</v>
      </c>
      <c r="F121" s="157">
        <v>62.160799999999995</v>
      </c>
    </row>
    <row r="122" spans="1:6">
      <c r="A122" s="164" t="s">
        <v>820</v>
      </c>
      <c r="B122" s="165">
        <v>0.6</v>
      </c>
      <c r="C122" s="162">
        <f t="shared" si="3"/>
        <v>37.296479999999995</v>
      </c>
      <c r="D122" s="162">
        <f t="shared" si="4"/>
        <v>24.864319999999999</v>
      </c>
      <c r="E122" s="163">
        <f t="shared" si="5"/>
        <v>33.152426666666663</v>
      </c>
      <c r="F122" s="157">
        <v>62.160799999999995</v>
      </c>
    </row>
    <row r="123" spans="1:6">
      <c r="A123" s="164" t="s">
        <v>821</v>
      </c>
      <c r="B123" s="165">
        <v>0.6</v>
      </c>
      <c r="C123" s="162">
        <f t="shared" si="3"/>
        <v>37.296479999999995</v>
      </c>
      <c r="D123" s="162">
        <f t="shared" si="4"/>
        <v>24.864319999999999</v>
      </c>
      <c r="E123" s="163">
        <f t="shared" si="5"/>
        <v>33.152426666666663</v>
      </c>
      <c r="F123" s="157">
        <v>62.160799999999995</v>
      </c>
    </row>
    <row r="124" spans="1:6">
      <c r="A124" s="164" t="s">
        <v>822</v>
      </c>
      <c r="B124" s="165">
        <v>0.6</v>
      </c>
      <c r="C124" s="162">
        <f t="shared" si="3"/>
        <v>53.5428</v>
      </c>
      <c r="D124" s="162">
        <f t="shared" si="4"/>
        <v>35.6952</v>
      </c>
      <c r="E124" s="163">
        <f t="shared" si="5"/>
        <v>47.593600000000002</v>
      </c>
      <c r="F124" s="157">
        <v>89.238</v>
      </c>
    </row>
    <row r="125" spans="1:6">
      <c r="A125" s="164" t="s">
        <v>823</v>
      </c>
      <c r="B125" s="165">
        <v>0.6</v>
      </c>
      <c r="C125" s="162">
        <f t="shared" si="3"/>
        <v>53.5428</v>
      </c>
      <c r="D125" s="162">
        <f t="shared" si="4"/>
        <v>35.6952</v>
      </c>
      <c r="E125" s="163">
        <f t="shared" si="5"/>
        <v>47.593600000000002</v>
      </c>
      <c r="F125" s="157">
        <v>89.238</v>
      </c>
    </row>
    <row r="126" spans="1:6">
      <c r="A126" s="164" t="s">
        <v>824</v>
      </c>
      <c r="B126" s="165">
        <v>0.6</v>
      </c>
      <c r="C126" s="162">
        <f t="shared" si="3"/>
        <v>53.5428</v>
      </c>
      <c r="D126" s="162">
        <f t="shared" si="4"/>
        <v>35.6952</v>
      </c>
      <c r="E126" s="163">
        <f t="shared" si="5"/>
        <v>47.593600000000002</v>
      </c>
      <c r="F126" s="157">
        <v>89.238</v>
      </c>
    </row>
    <row r="127" spans="1:6">
      <c r="A127" s="164" t="s">
        <v>825</v>
      </c>
      <c r="B127" s="165">
        <v>0.6</v>
      </c>
      <c r="C127" s="162">
        <f t="shared" si="3"/>
        <v>77.328479999999999</v>
      </c>
      <c r="D127" s="162">
        <f t="shared" si="4"/>
        <v>51.552319999999995</v>
      </c>
      <c r="E127" s="163">
        <f t="shared" si="5"/>
        <v>68.736426666666659</v>
      </c>
      <c r="F127" s="157">
        <v>128.88079999999999</v>
      </c>
    </row>
    <row r="128" spans="1:6">
      <c r="A128" s="164" t="s">
        <v>826</v>
      </c>
      <c r="B128" s="165">
        <v>0.6</v>
      </c>
      <c r="C128" s="162">
        <f t="shared" si="3"/>
        <v>77.328479999999999</v>
      </c>
      <c r="D128" s="162">
        <f t="shared" si="4"/>
        <v>51.552319999999995</v>
      </c>
      <c r="E128" s="163">
        <f t="shared" si="5"/>
        <v>68.736426666666659</v>
      </c>
      <c r="F128" s="157">
        <v>128.88079999999999</v>
      </c>
    </row>
    <row r="129" spans="1:6">
      <c r="A129" s="164" t="s">
        <v>827</v>
      </c>
      <c r="B129" s="165">
        <v>0.6</v>
      </c>
      <c r="C129" s="162">
        <f t="shared" si="3"/>
        <v>77.328479999999999</v>
      </c>
      <c r="D129" s="162">
        <f t="shared" si="4"/>
        <v>51.552319999999995</v>
      </c>
      <c r="E129" s="163">
        <f t="shared" si="5"/>
        <v>68.736426666666659</v>
      </c>
      <c r="F129" s="157">
        <v>128.88079999999999</v>
      </c>
    </row>
    <row r="130" spans="1:6">
      <c r="A130" s="167" t="s">
        <v>828</v>
      </c>
      <c r="B130" s="161">
        <v>0.45</v>
      </c>
      <c r="C130" s="162">
        <f t="shared" si="3"/>
        <v>82.015560000000008</v>
      </c>
      <c r="D130" s="162">
        <f t="shared" si="4"/>
        <v>100.24123999999999</v>
      </c>
      <c r="E130" s="163">
        <f t="shared" si="5"/>
        <v>133.65498666666664</v>
      </c>
      <c r="F130" s="157">
        <v>182.2568</v>
      </c>
    </row>
    <row r="131" spans="1:6">
      <c r="A131" s="167" t="s">
        <v>829</v>
      </c>
      <c r="B131" s="161">
        <v>0.45</v>
      </c>
      <c r="C131" s="162">
        <f t="shared" si="3"/>
        <v>82.015560000000008</v>
      </c>
      <c r="D131" s="162">
        <f t="shared" si="4"/>
        <v>100.24123999999999</v>
      </c>
      <c r="E131" s="163">
        <f t="shared" si="5"/>
        <v>133.65498666666664</v>
      </c>
      <c r="F131" s="157">
        <v>182.2568</v>
      </c>
    </row>
    <row r="132" spans="1:6">
      <c r="A132" s="167" t="s">
        <v>830</v>
      </c>
      <c r="B132" s="161">
        <v>0.45</v>
      </c>
      <c r="C132" s="162">
        <f t="shared" ref="C132:C195" si="6">(F132*B132)</f>
        <v>82.015560000000008</v>
      </c>
      <c r="D132" s="162">
        <f t="shared" ref="D132:D195" si="7">F132-C132</f>
        <v>100.24123999999999</v>
      </c>
      <c r="E132" s="163">
        <f t="shared" ref="E132:E195" si="8">D132/0.75</f>
        <v>133.65498666666664</v>
      </c>
      <c r="F132" s="157">
        <v>182.2568</v>
      </c>
    </row>
    <row r="133" spans="1:6">
      <c r="A133" s="167" t="s">
        <v>831</v>
      </c>
      <c r="B133" s="161">
        <v>0.45</v>
      </c>
      <c r="C133" s="162">
        <f t="shared" si="6"/>
        <v>142.06356</v>
      </c>
      <c r="D133" s="162">
        <f t="shared" si="7"/>
        <v>173.63324</v>
      </c>
      <c r="E133" s="163">
        <f t="shared" si="8"/>
        <v>231.51098666666667</v>
      </c>
      <c r="F133" s="157">
        <v>315.6968</v>
      </c>
    </row>
    <row r="134" spans="1:6">
      <c r="A134" s="167" t="s">
        <v>832</v>
      </c>
      <c r="B134" s="161">
        <v>0.45</v>
      </c>
      <c r="C134" s="162">
        <f t="shared" si="6"/>
        <v>142.06356</v>
      </c>
      <c r="D134" s="162">
        <f t="shared" si="7"/>
        <v>173.63324</v>
      </c>
      <c r="E134" s="163">
        <f t="shared" si="8"/>
        <v>231.51098666666667</v>
      </c>
      <c r="F134" s="157">
        <v>315.6968</v>
      </c>
    </row>
    <row r="135" spans="1:6">
      <c r="A135" s="167" t="s">
        <v>833</v>
      </c>
      <c r="B135" s="161">
        <v>0.45</v>
      </c>
      <c r="C135" s="162">
        <f t="shared" si="6"/>
        <v>263.16036000000003</v>
      </c>
      <c r="D135" s="162">
        <f t="shared" si="7"/>
        <v>321.64043999999996</v>
      </c>
      <c r="E135" s="163">
        <f t="shared" si="8"/>
        <v>428.85391999999996</v>
      </c>
      <c r="F135" s="157">
        <v>584.80079999999998</v>
      </c>
    </row>
    <row r="136" spans="1:6">
      <c r="A136" s="167" t="s">
        <v>834</v>
      </c>
      <c r="B136" s="161">
        <v>0.45</v>
      </c>
      <c r="C136" s="162">
        <f t="shared" si="6"/>
        <v>419.58540000000005</v>
      </c>
      <c r="D136" s="162">
        <f t="shared" si="7"/>
        <v>512.82659999999998</v>
      </c>
      <c r="E136" s="163">
        <f t="shared" si="8"/>
        <v>683.76879999999994</v>
      </c>
      <c r="F136" s="157">
        <v>932.41200000000003</v>
      </c>
    </row>
    <row r="137" spans="1:6">
      <c r="A137" s="292" t="s">
        <v>835</v>
      </c>
      <c r="B137" s="292"/>
      <c r="C137" s="292"/>
      <c r="D137" s="162">
        <f t="shared" si="7"/>
        <v>0</v>
      </c>
      <c r="E137" s="163">
        <f t="shared" si="8"/>
        <v>0</v>
      </c>
      <c r="F137" s="157"/>
    </row>
    <row r="138" spans="1:6">
      <c r="A138" s="160" t="s">
        <v>836</v>
      </c>
      <c r="B138" s="161">
        <v>0.45</v>
      </c>
      <c r="C138" s="162">
        <f t="shared" si="6"/>
        <v>24.469559999999998</v>
      </c>
      <c r="D138" s="162">
        <f t="shared" si="7"/>
        <v>29.907239999999998</v>
      </c>
      <c r="E138" s="163">
        <f t="shared" si="8"/>
        <v>39.87632</v>
      </c>
      <c r="F138" s="157">
        <v>54.376799999999996</v>
      </c>
    </row>
    <row r="139" spans="1:6">
      <c r="A139" s="164" t="s">
        <v>837</v>
      </c>
      <c r="B139" s="165">
        <v>0.6</v>
      </c>
      <c r="C139" s="162">
        <f t="shared" si="6"/>
        <v>28.889759999999995</v>
      </c>
      <c r="D139" s="162">
        <f t="shared" si="7"/>
        <v>19.259839999999997</v>
      </c>
      <c r="E139" s="163">
        <f t="shared" si="8"/>
        <v>25.679786666666661</v>
      </c>
      <c r="F139" s="157">
        <v>48.149599999999992</v>
      </c>
    </row>
    <row r="140" spans="1:6">
      <c r="A140" s="164" t="s">
        <v>838</v>
      </c>
      <c r="B140" s="165">
        <v>0.6</v>
      </c>
      <c r="C140" s="162">
        <f t="shared" si="6"/>
        <v>38.363999999999997</v>
      </c>
      <c r="D140" s="162">
        <f t="shared" si="7"/>
        <v>25.576000000000001</v>
      </c>
      <c r="E140" s="163">
        <f t="shared" si="8"/>
        <v>34.101333333333336</v>
      </c>
      <c r="F140" s="157">
        <v>63.94</v>
      </c>
    </row>
    <row r="141" spans="1:6">
      <c r="A141" s="164" t="s">
        <v>839</v>
      </c>
      <c r="B141" s="165">
        <v>0.6</v>
      </c>
      <c r="C141" s="162">
        <f t="shared" si="6"/>
        <v>57.979680000000002</v>
      </c>
      <c r="D141" s="162">
        <f t="shared" si="7"/>
        <v>38.653120000000001</v>
      </c>
      <c r="E141" s="163">
        <f t="shared" si="8"/>
        <v>51.537493333333337</v>
      </c>
      <c r="F141" s="157">
        <v>96.632800000000003</v>
      </c>
    </row>
    <row r="142" spans="1:6">
      <c r="A142" s="164" t="s">
        <v>840</v>
      </c>
      <c r="B142" s="165">
        <v>0.6</v>
      </c>
      <c r="C142" s="162">
        <f t="shared" si="6"/>
        <v>102.61536</v>
      </c>
      <c r="D142" s="162">
        <f t="shared" si="7"/>
        <v>68.410240000000002</v>
      </c>
      <c r="E142" s="163">
        <f t="shared" si="8"/>
        <v>91.21365333333334</v>
      </c>
      <c r="F142" s="157">
        <v>171.0256</v>
      </c>
    </row>
    <row r="143" spans="1:6">
      <c r="A143" s="164" t="s">
        <v>841</v>
      </c>
      <c r="B143" s="165">
        <v>0.6</v>
      </c>
      <c r="C143" s="162">
        <f t="shared" si="6"/>
        <v>139.37808000000001</v>
      </c>
      <c r="D143" s="162">
        <f t="shared" si="7"/>
        <v>92.918720000000008</v>
      </c>
      <c r="E143" s="163">
        <f t="shared" si="8"/>
        <v>123.89162666666668</v>
      </c>
      <c r="F143" s="157">
        <v>232.29680000000002</v>
      </c>
    </row>
    <row r="144" spans="1:6">
      <c r="A144" s="167" t="s">
        <v>842</v>
      </c>
      <c r="B144" s="161">
        <v>0.45</v>
      </c>
      <c r="C144" s="162">
        <f t="shared" si="6"/>
        <v>138.76092</v>
      </c>
      <c r="D144" s="162">
        <f t="shared" si="7"/>
        <v>169.59667999999999</v>
      </c>
      <c r="E144" s="163">
        <f t="shared" si="8"/>
        <v>226.12890666666667</v>
      </c>
      <c r="F144" s="157">
        <v>308.35759999999999</v>
      </c>
    </row>
    <row r="145" spans="1:6">
      <c r="A145" s="167" t="s">
        <v>843</v>
      </c>
      <c r="B145" s="161">
        <v>0.45</v>
      </c>
      <c r="C145" s="162">
        <f t="shared" si="6"/>
        <v>241.34291999999999</v>
      </c>
      <c r="D145" s="162">
        <f t="shared" si="7"/>
        <v>294.97467999999998</v>
      </c>
      <c r="E145" s="163">
        <f t="shared" si="8"/>
        <v>393.29957333333329</v>
      </c>
      <c r="F145" s="157">
        <v>536.31759999999997</v>
      </c>
    </row>
    <row r="146" spans="1:6">
      <c r="A146" s="167" t="s">
        <v>844</v>
      </c>
      <c r="B146" s="161">
        <v>0.45</v>
      </c>
      <c r="C146" s="162">
        <f t="shared" si="6"/>
        <v>333.01619999999997</v>
      </c>
      <c r="D146" s="162">
        <f t="shared" si="7"/>
        <v>407.01979999999998</v>
      </c>
      <c r="E146" s="163">
        <f t="shared" si="8"/>
        <v>542.6930666666666</v>
      </c>
      <c r="F146" s="157">
        <v>740.03599999999994</v>
      </c>
    </row>
    <row r="147" spans="1:6">
      <c r="A147" s="167" t="s">
        <v>845</v>
      </c>
      <c r="B147" s="161">
        <v>0.45</v>
      </c>
      <c r="C147" s="162">
        <f t="shared" si="6"/>
        <v>635.95836000000008</v>
      </c>
      <c r="D147" s="162">
        <f t="shared" si="7"/>
        <v>777.28243999999995</v>
      </c>
      <c r="E147" s="163">
        <f t="shared" si="8"/>
        <v>1036.3765866666665</v>
      </c>
      <c r="F147" s="157">
        <v>1413.2408</v>
      </c>
    </row>
    <row r="148" spans="1:6" ht="34.5" customHeight="1">
      <c r="A148" s="292" t="s">
        <v>846</v>
      </c>
      <c r="B148" s="292"/>
      <c r="C148" s="292"/>
      <c r="D148" s="162">
        <f t="shared" si="7"/>
        <v>0</v>
      </c>
      <c r="E148" s="163">
        <f t="shared" si="8"/>
        <v>0</v>
      </c>
      <c r="F148" s="157"/>
    </row>
    <row r="149" spans="1:6">
      <c r="A149" s="160" t="s">
        <v>847</v>
      </c>
      <c r="B149" s="161">
        <v>0.45</v>
      </c>
      <c r="C149" s="162">
        <f t="shared" si="6"/>
        <v>31.725359999999998</v>
      </c>
      <c r="D149" s="162">
        <f t="shared" si="7"/>
        <v>38.775440000000003</v>
      </c>
      <c r="E149" s="163">
        <f t="shared" si="8"/>
        <v>51.700586666666673</v>
      </c>
      <c r="F149" s="157">
        <v>70.500799999999998</v>
      </c>
    </row>
    <row r="150" spans="1:6">
      <c r="A150" s="164" t="s">
        <v>848</v>
      </c>
      <c r="B150" s="165">
        <v>0.6</v>
      </c>
      <c r="C150" s="162">
        <f t="shared" si="6"/>
        <v>37.496639999999999</v>
      </c>
      <c r="D150" s="162">
        <f t="shared" si="7"/>
        <v>24.99776</v>
      </c>
      <c r="E150" s="163">
        <f t="shared" si="8"/>
        <v>33.330346666666664</v>
      </c>
      <c r="F150" s="157">
        <v>62.494399999999999</v>
      </c>
    </row>
    <row r="151" spans="1:6">
      <c r="A151" s="164" t="s">
        <v>849</v>
      </c>
      <c r="B151" s="165">
        <v>0.6</v>
      </c>
      <c r="C151" s="162">
        <f t="shared" si="6"/>
        <v>55.043999999999997</v>
      </c>
      <c r="D151" s="162">
        <f t="shared" si="7"/>
        <v>36.695999999999998</v>
      </c>
      <c r="E151" s="163">
        <f t="shared" si="8"/>
        <v>48.927999999999997</v>
      </c>
      <c r="F151" s="157">
        <v>91.74</v>
      </c>
    </row>
    <row r="152" spans="1:6">
      <c r="A152" s="164" t="s">
        <v>850</v>
      </c>
      <c r="B152" s="165">
        <v>0.6</v>
      </c>
      <c r="C152" s="162">
        <f t="shared" si="6"/>
        <v>55.043999999999997</v>
      </c>
      <c r="D152" s="162">
        <f t="shared" si="7"/>
        <v>36.695999999999998</v>
      </c>
      <c r="E152" s="163">
        <f t="shared" si="8"/>
        <v>48.927999999999997</v>
      </c>
      <c r="F152" s="157">
        <v>91.74</v>
      </c>
    </row>
    <row r="153" spans="1:6">
      <c r="A153" s="164" t="s">
        <v>851</v>
      </c>
      <c r="B153" s="165">
        <v>0.6</v>
      </c>
      <c r="C153" s="162">
        <f t="shared" si="6"/>
        <v>87.636719999999983</v>
      </c>
      <c r="D153" s="162">
        <f t="shared" si="7"/>
        <v>58.424480000000003</v>
      </c>
      <c r="E153" s="163">
        <f t="shared" si="8"/>
        <v>77.899306666666675</v>
      </c>
      <c r="F153" s="157">
        <v>146.06119999999999</v>
      </c>
    </row>
    <row r="154" spans="1:6">
      <c r="A154" s="164" t="s">
        <v>852</v>
      </c>
      <c r="B154" s="165">
        <v>0.6</v>
      </c>
      <c r="C154" s="162">
        <f t="shared" si="6"/>
        <v>87.636719999999983</v>
      </c>
      <c r="D154" s="162">
        <f t="shared" si="7"/>
        <v>58.424480000000003</v>
      </c>
      <c r="E154" s="163">
        <f t="shared" si="8"/>
        <v>77.899306666666675</v>
      </c>
      <c r="F154" s="157">
        <v>146.06119999999999</v>
      </c>
    </row>
    <row r="155" spans="1:6">
      <c r="A155" s="164" t="s">
        <v>853</v>
      </c>
      <c r="B155" s="165">
        <v>0.6</v>
      </c>
      <c r="C155" s="162">
        <f t="shared" si="6"/>
        <v>125.60039999999999</v>
      </c>
      <c r="D155" s="162">
        <f t="shared" si="7"/>
        <v>83.73360000000001</v>
      </c>
      <c r="E155" s="163">
        <f t="shared" si="8"/>
        <v>111.64480000000002</v>
      </c>
      <c r="F155" s="157">
        <v>209.334</v>
      </c>
    </row>
    <row r="156" spans="1:6">
      <c r="A156" s="164" t="s">
        <v>854</v>
      </c>
      <c r="B156" s="165">
        <v>0.6</v>
      </c>
      <c r="C156" s="162">
        <f t="shared" si="6"/>
        <v>125.60039999999999</v>
      </c>
      <c r="D156" s="162">
        <f t="shared" si="7"/>
        <v>83.73360000000001</v>
      </c>
      <c r="E156" s="163">
        <f t="shared" si="8"/>
        <v>111.64480000000002</v>
      </c>
      <c r="F156" s="157">
        <v>209.334</v>
      </c>
    </row>
    <row r="157" spans="1:6">
      <c r="A157" s="164" t="s">
        <v>855</v>
      </c>
      <c r="B157" s="165">
        <v>0.6</v>
      </c>
      <c r="C157" s="162">
        <f t="shared" si="6"/>
        <v>125.60039999999999</v>
      </c>
      <c r="D157" s="162">
        <f t="shared" si="7"/>
        <v>83.73360000000001</v>
      </c>
      <c r="E157" s="163">
        <f t="shared" si="8"/>
        <v>111.64480000000002</v>
      </c>
      <c r="F157" s="157">
        <v>209.334</v>
      </c>
    </row>
    <row r="158" spans="1:6">
      <c r="A158" s="167" t="s">
        <v>856</v>
      </c>
      <c r="B158" s="161">
        <v>0.45</v>
      </c>
      <c r="C158" s="162">
        <f t="shared" si="6"/>
        <v>128.65284000000003</v>
      </c>
      <c r="D158" s="162">
        <f t="shared" si="7"/>
        <v>157.24236000000002</v>
      </c>
      <c r="E158" s="163">
        <f t="shared" si="8"/>
        <v>209.65648000000002</v>
      </c>
      <c r="F158" s="157">
        <v>285.89520000000005</v>
      </c>
    </row>
    <row r="159" spans="1:6">
      <c r="A159" s="167" t="s">
        <v>857</v>
      </c>
      <c r="B159" s="161">
        <v>0.45</v>
      </c>
      <c r="C159" s="162">
        <f t="shared" si="6"/>
        <v>235.43820000000002</v>
      </c>
      <c r="D159" s="162">
        <f t="shared" si="7"/>
        <v>287.75779999999997</v>
      </c>
      <c r="E159" s="163">
        <f t="shared" si="8"/>
        <v>383.67706666666663</v>
      </c>
      <c r="F159" s="157">
        <v>523.19600000000003</v>
      </c>
    </row>
    <row r="160" spans="1:6">
      <c r="A160" s="167" t="s">
        <v>858</v>
      </c>
      <c r="B160" s="161">
        <v>0.45</v>
      </c>
      <c r="C160" s="162">
        <f t="shared" si="6"/>
        <v>370.74635999999998</v>
      </c>
      <c r="D160" s="162">
        <f t="shared" si="7"/>
        <v>453.13443999999993</v>
      </c>
      <c r="E160" s="163">
        <f t="shared" si="8"/>
        <v>604.17925333333324</v>
      </c>
      <c r="F160" s="157">
        <v>823.88079999999991</v>
      </c>
    </row>
    <row r="161" spans="1:6">
      <c r="A161" s="167" t="s">
        <v>859</v>
      </c>
      <c r="B161" s="161">
        <v>0.45</v>
      </c>
      <c r="C161" s="162">
        <f t="shared" si="6"/>
        <v>692.05319999999995</v>
      </c>
      <c r="D161" s="162">
        <f t="shared" si="7"/>
        <v>845.84280000000001</v>
      </c>
      <c r="E161" s="163">
        <f t="shared" si="8"/>
        <v>1127.7904000000001</v>
      </c>
      <c r="F161" s="157">
        <v>1537.896</v>
      </c>
    </row>
    <row r="162" spans="1:6">
      <c r="A162" s="167" t="s">
        <v>860</v>
      </c>
      <c r="B162" s="161">
        <v>0.45</v>
      </c>
      <c r="C162" s="162">
        <f t="shared" si="6"/>
        <v>692.05319999999995</v>
      </c>
      <c r="D162" s="162">
        <f t="shared" si="7"/>
        <v>845.84280000000001</v>
      </c>
      <c r="E162" s="163">
        <f t="shared" si="8"/>
        <v>1127.7904000000001</v>
      </c>
      <c r="F162" s="157">
        <v>1537.896</v>
      </c>
    </row>
    <row r="163" spans="1:6">
      <c r="A163" s="292" t="s">
        <v>861</v>
      </c>
      <c r="B163" s="292"/>
      <c r="C163" s="292"/>
      <c r="D163" s="162">
        <f t="shared" si="7"/>
        <v>0</v>
      </c>
      <c r="E163" s="163">
        <f t="shared" si="8"/>
        <v>0</v>
      </c>
      <c r="F163" s="157"/>
    </row>
    <row r="164" spans="1:6">
      <c r="A164" s="160" t="s">
        <v>862</v>
      </c>
      <c r="B164" s="161">
        <v>0.45</v>
      </c>
      <c r="C164" s="162">
        <f t="shared" si="6"/>
        <v>21.166920000000001</v>
      </c>
      <c r="D164" s="162">
        <f t="shared" si="7"/>
        <v>25.870679999999997</v>
      </c>
      <c r="E164" s="163">
        <f t="shared" si="8"/>
        <v>34.494239999999998</v>
      </c>
      <c r="F164" s="157">
        <v>47.037599999999998</v>
      </c>
    </row>
    <row r="165" spans="1:6">
      <c r="A165" s="160" t="s">
        <v>863</v>
      </c>
      <c r="B165" s="161">
        <v>0.45</v>
      </c>
      <c r="C165" s="162">
        <f t="shared" si="6"/>
        <v>21.166920000000001</v>
      </c>
      <c r="D165" s="162">
        <f t="shared" si="7"/>
        <v>25.870679999999997</v>
      </c>
      <c r="E165" s="163">
        <f t="shared" si="8"/>
        <v>34.494239999999998</v>
      </c>
      <c r="F165" s="157">
        <v>47.037599999999998</v>
      </c>
    </row>
    <row r="166" spans="1:6">
      <c r="A166" s="164" t="s">
        <v>864</v>
      </c>
      <c r="B166" s="165">
        <v>0.6</v>
      </c>
      <c r="C166" s="162">
        <f t="shared" si="6"/>
        <v>24.586320000000001</v>
      </c>
      <c r="D166" s="162">
        <f t="shared" si="7"/>
        <v>16.390880000000003</v>
      </c>
      <c r="E166" s="163">
        <f t="shared" si="8"/>
        <v>21.854506666666669</v>
      </c>
      <c r="F166" s="157">
        <v>40.977200000000003</v>
      </c>
    </row>
    <row r="167" spans="1:6">
      <c r="A167" s="164" t="s">
        <v>865</v>
      </c>
      <c r="B167" s="165">
        <v>0.6</v>
      </c>
      <c r="C167" s="162">
        <f t="shared" si="6"/>
        <v>24.586320000000001</v>
      </c>
      <c r="D167" s="162">
        <f t="shared" si="7"/>
        <v>16.390880000000003</v>
      </c>
      <c r="E167" s="163">
        <f t="shared" si="8"/>
        <v>21.854506666666669</v>
      </c>
      <c r="F167" s="157">
        <v>40.977200000000003</v>
      </c>
    </row>
    <row r="168" spans="1:6">
      <c r="A168" s="164" t="s">
        <v>866</v>
      </c>
      <c r="B168" s="165">
        <v>0.6</v>
      </c>
      <c r="C168" s="162">
        <f t="shared" si="6"/>
        <v>24.586320000000001</v>
      </c>
      <c r="D168" s="162">
        <f t="shared" si="7"/>
        <v>16.390880000000003</v>
      </c>
      <c r="E168" s="163">
        <f t="shared" si="8"/>
        <v>21.854506666666669</v>
      </c>
      <c r="F168" s="157">
        <v>40.977200000000003</v>
      </c>
    </row>
    <row r="169" spans="1:6">
      <c r="A169" s="164" t="s">
        <v>867</v>
      </c>
      <c r="B169" s="165">
        <v>0.6</v>
      </c>
      <c r="C169" s="162">
        <f t="shared" si="6"/>
        <v>31.49184</v>
      </c>
      <c r="D169" s="162">
        <f t="shared" si="7"/>
        <v>20.994560000000003</v>
      </c>
      <c r="E169" s="163">
        <f t="shared" si="8"/>
        <v>27.992746666666672</v>
      </c>
      <c r="F169" s="157">
        <v>52.486400000000003</v>
      </c>
    </row>
    <row r="170" spans="1:6">
      <c r="A170" s="164" t="s">
        <v>868</v>
      </c>
      <c r="B170" s="165">
        <v>0.6</v>
      </c>
      <c r="C170" s="162">
        <f t="shared" si="6"/>
        <v>31.49184</v>
      </c>
      <c r="D170" s="162">
        <f t="shared" si="7"/>
        <v>20.994560000000003</v>
      </c>
      <c r="E170" s="163">
        <f t="shared" si="8"/>
        <v>27.992746666666672</v>
      </c>
      <c r="F170" s="157">
        <v>52.486400000000003</v>
      </c>
    </row>
    <row r="171" spans="1:6">
      <c r="A171" s="164" t="s">
        <v>869</v>
      </c>
      <c r="B171" s="165">
        <v>0.6</v>
      </c>
      <c r="C171" s="162">
        <f t="shared" si="6"/>
        <v>31.49184</v>
      </c>
      <c r="D171" s="162">
        <f t="shared" si="7"/>
        <v>20.994560000000003</v>
      </c>
      <c r="E171" s="163">
        <f t="shared" si="8"/>
        <v>27.992746666666672</v>
      </c>
      <c r="F171" s="157">
        <v>52.486400000000003</v>
      </c>
    </row>
    <row r="172" spans="1:6">
      <c r="A172" s="164" t="s">
        <v>870</v>
      </c>
      <c r="B172" s="165">
        <v>0.6</v>
      </c>
      <c r="C172" s="162">
        <f t="shared" si="6"/>
        <v>45.5364</v>
      </c>
      <c r="D172" s="162">
        <f t="shared" si="7"/>
        <v>30.357600000000005</v>
      </c>
      <c r="E172" s="163">
        <f t="shared" si="8"/>
        <v>40.476800000000004</v>
      </c>
      <c r="F172" s="157">
        <v>75.894000000000005</v>
      </c>
    </row>
    <row r="173" spans="1:6">
      <c r="A173" s="164" t="s">
        <v>871</v>
      </c>
      <c r="B173" s="165">
        <v>0.6</v>
      </c>
      <c r="C173" s="162">
        <f t="shared" si="6"/>
        <v>45.5364</v>
      </c>
      <c r="D173" s="162">
        <f t="shared" si="7"/>
        <v>30.357600000000005</v>
      </c>
      <c r="E173" s="163">
        <f t="shared" si="8"/>
        <v>40.476800000000004</v>
      </c>
      <c r="F173" s="157">
        <v>75.894000000000005</v>
      </c>
    </row>
    <row r="174" spans="1:6">
      <c r="A174" s="164" t="s">
        <v>872</v>
      </c>
      <c r="B174" s="165">
        <v>0.6</v>
      </c>
      <c r="C174" s="162">
        <f t="shared" si="6"/>
        <v>45.5364</v>
      </c>
      <c r="D174" s="162">
        <f t="shared" si="7"/>
        <v>30.357600000000005</v>
      </c>
      <c r="E174" s="163">
        <f t="shared" si="8"/>
        <v>40.476800000000004</v>
      </c>
      <c r="F174" s="157">
        <v>75.894000000000005</v>
      </c>
    </row>
    <row r="175" spans="1:6">
      <c r="A175" s="164" t="s">
        <v>873</v>
      </c>
      <c r="B175" s="165">
        <v>0.6</v>
      </c>
      <c r="C175" s="162">
        <f t="shared" si="6"/>
        <v>45.5364</v>
      </c>
      <c r="D175" s="162">
        <f t="shared" si="7"/>
        <v>30.357600000000005</v>
      </c>
      <c r="E175" s="163">
        <f t="shared" si="8"/>
        <v>40.476800000000004</v>
      </c>
      <c r="F175" s="157">
        <v>75.894000000000005</v>
      </c>
    </row>
    <row r="176" spans="1:6">
      <c r="A176" s="166" t="s">
        <v>874</v>
      </c>
      <c r="B176" s="165">
        <v>0.6</v>
      </c>
      <c r="C176" s="162">
        <f t="shared" si="6"/>
        <v>82.966319999999996</v>
      </c>
      <c r="D176" s="162">
        <f t="shared" si="7"/>
        <v>55.310879999999997</v>
      </c>
      <c r="E176" s="163">
        <f t="shared" si="8"/>
        <v>73.747839999999997</v>
      </c>
      <c r="F176" s="157">
        <v>138.27719999999999</v>
      </c>
    </row>
    <row r="177" spans="1:6">
      <c r="A177" s="164" t="s">
        <v>875</v>
      </c>
      <c r="B177" s="165">
        <v>0.6</v>
      </c>
      <c r="C177" s="162">
        <f t="shared" si="6"/>
        <v>82.966319999999996</v>
      </c>
      <c r="D177" s="162">
        <f t="shared" si="7"/>
        <v>55.310879999999997</v>
      </c>
      <c r="E177" s="163">
        <f t="shared" si="8"/>
        <v>73.747839999999997</v>
      </c>
      <c r="F177" s="157">
        <v>138.27719999999999</v>
      </c>
    </row>
    <row r="178" spans="1:6">
      <c r="A178" s="164" t="s">
        <v>876</v>
      </c>
      <c r="B178" s="165">
        <v>0.6</v>
      </c>
      <c r="C178" s="162">
        <f t="shared" si="6"/>
        <v>82.966319999999996</v>
      </c>
      <c r="D178" s="162">
        <f t="shared" si="7"/>
        <v>55.310879999999997</v>
      </c>
      <c r="E178" s="163">
        <f t="shared" si="8"/>
        <v>73.747839999999997</v>
      </c>
      <c r="F178" s="157">
        <v>138.27719999999999</v>
      </c>
    </row>
    <row r="179" spans="1:6">
      <c r="A179" s="164" t="s">
        <v>877</v>
      </c>
      <c r="B179" s="165">
        <v>0.6</v>
      </c>
      <c r="C179" s="162">
        <f t="shared" si="6"/>
        <v>112.2564</v>
      </c>
      <c r="D179" s="162">
        <f t="shared" si="7"/>
        <v>74.837599999999995</v>
      </c>
      <c r="E179" s="163">
        <f t="shared" si="8"/>
        <v>99.783466666666655</v>
      </c>
      <c r="F179" s="157">
        <v>187.09399999999999</v>
      </c>
    </row>
    <row r="180" spans="1:6">
      <c r="A180" s="164" t="s">
        <v>878</v>
      </c>
      <c r="B180" s="165">
        <v>0.6</v>
      </c>
      <c r="C180" s="162">
        <f t="shared" si="6"/>
        <v>112.2564</v>
      </c>
      <c r="D180" s="162">
        <f t="shared" si="7"/>
        <v>74.837599999999995</v>
      </c>
      <c r="E180" s="163">
        <f t="shared" si="8"/>
        <v>99.783466666666655</v>
      </c>
      <c r="F180" s="157">
        <v>187.09399999999999</v>
      </c>
    </row>
    <row r="181" spans="1:6">
      <c r="A181" s="164" t="s">
        <v>879</v>
      </c>
      <c r="B181" s="165">
        <v>0.6</v>
      </c>
      <c r="C181" s="162">
        <f t="shared" si="6"/>
        <v>112.2564</v>
      </c>
      <c r="D181" s="162">
        <f t="shared" si="7"/>
        <v>74.837599999999995</v>
      </c>
      <c r="E181" s="163">
        <f t="shared" si="8"/>
        <v>99.783466666666655</v>
      </c>
      <c r="F181" s="157">
        <v>187.09399999999999</v>
      </c>
    </row>
    <row r="182" spans="1:6">
      <c r="A182" s="167" t="s">
        <v>880</v>
      </c>
      <c r="B182" s="161">
        <v>0.45</v>
      </c>
      <c r="C182" s="162">
        <f t="shared" si="6"/>
        <v>169.88580000000002</v>
      </c>
      <c r="D182" s="162">
        <f t="shared" si="7"/>
        <v>207.63819999999998</v>
      </c>
      <c r="E182" s="163">
        <f t="shared" si="8"/>
        <v>276.85093333333333</v>
      </c>
      <c r="F182" s="157">
        <v>377.524</v>
      </c>
    </row>
    <row r="183" spans="1:6">
      <c r="A183" s="167" t="s">
        <v>881</v>
      </c>
      <c r="B183" s="161">
        <v>0.45</v>
      </c>
      <c r="C183" s="162">
        <f t="shared" si="6"/>
        <v>169.88580000000002</v>
      </c>
      <c r="D183" s="162">
        <f t="shared" si="7"/>
        <v>207.63819999999998</v>
      </c>
      <c r="E183" s="163">
        <f t="shared" si="8"/>
        <v>276.85093333333333</v>
      </c>
      <c r="F183" s="157">
        <v>377.524</v>
      </c>
    </row>
    <row r="184" spans="1:6">
      <c r="A184" s="167" t="s">
        <v>882</v>
      </c>
      <c r="B184" s="161">
        <v>0.45</v>
      </c>
      <c r="C184" s="162">
        <f t="shared" si="6"/>
        <v>169.88580000000002</v>
      </c>
      <c r="D184" s="162">
        <f t="shared" si="7"/>
        <v>207.63819999999998</v>
      </c>
      <c r="E184" s="163">
        <f t="shared" si="8"/>
        <v>276.85093333333333</v>
      </c>
      <c r="F184" s="157">
        <v>377.524</v>
      </c>
    </row>
    <row r="185" spans="1:6">
      <c r="A185" s="167" t="s">
        <v>883</v>
      </c>
      <c r="B185" s="161">
        <v>0.45</v>
      </c>
      <c r="C185" s="162">
        <f t="shared" si="6"/>
        <v>249.94979999999998</v>
      </c>
      <c r="D185" s="162">
        <f t="shared" si="7"/>
        <v>305.49419999999998</v>
      </c>
      <c r="E185" s="163">
        <f t="shared" si="8"/>
        <v>407.32559999999995</v>
      </c>
      <c r="F185" s="157">
        <v>555.44399999999996</v>
      </c>
    </row>
    <row r="186" spans="1:6">
      <c r="A186" s="167" t="s">
        <v>884</v>
      </c>
      <c r="B186" s="161">
        <v>0.45</v>
      </c>
      <c r="C186" s="162">
        <f t="shared" si="6"/>
        <v>249.94979999999998</v>
      </c>
      <c r="D186" s="162">
        <f t="shared" si="7"/>
        <v>305.49419999999998</v>
      </c>
      <c r="E186" s="163">
        <f t="shared" si="8"/>
        <v>407.32559999999995</v>
      </c>
      <c r="F186" s="157">
        <v>555.44399999999996</v>
      </c>
    </row>
    <row r="187" spans="1:6">
      <c r="A187" s="167" t="s">
        <v>885</v>
      </c>
      <c r="B187" s="161">
        <v>0.45</v>
      </c>
      <c r="C187" s="162">
        <f t="shared" si="6"/>
        <v>365.69232</v>
      </c>
      <c r="D187" s="162">
        <f t="shared" si="7"/>
        <v>446.95727999999997</v>
      </c>
      <c r="E187" s="163">
        <f t="shared" si="8"/>
        <v>595.94304</v>
      </c>
      <c r="F187" s="157">
        <v>812.64959999999996</v>
      </c>
    </row>
    <row r="188" spans="1:6">
      <c r="A188" s="167" t="s">
        <v>886</v>
      </c>
      <c r="B188" s="161">
        <v>0.45</v>
      </c>
      <c r="C188" s="162">
        <f t="shared" si="6"/>
        <v>600.42996000000005</v>
      </c>
      <c r="D188" s="162">
        <f t="shared" si="7"/>
        <v>733.85883999999999</v>
      </c>
      <c r="E188" s="163">
        <f t="shared" si="8"/>
        <v>978.47845333333328</v>
      </c>
      <c r="F188" s="157">
        <v>1334.2888</v>
      </c>
    </row>
    <row r="189" spans="1:6">
      <c r="A189" s="292" t="s">
        <v>887</v>
      </c>
      <c r="B189" s="292"/>
      <c r="C189" s="292"/>
      <c r="D189" s="162">
        <f t="shared" si="7"/>
        <v>0</v>
      </c>
      <c r="E189" s="163">
        <f t="shared" si="8"/>
        <v>0</v>
      </c>
      <c r="F189" s="157"/>
    </row>
    <row r="190" spans="1:6">
      <c r="A190" s="160" t="s">
        <v>888</v>
      </c>
      <c r="B190" s="161">
        <v>0.45</v>
      </c>
      <c r="C190" s="162">
        <f t="shared" si="6"/>
        <v>19.640700000000002</v>
      </c>
      <c r="D190" s="162">
        <f t="shared" si="7"/>
        <v>24.005299999999998</v>
      </c>
      <c r="E190" s="163">
        <f t="shared" si="8"/>
        <v>32.007066666666667</v>
      </c>
      <c r="F190" s="157">
        <v>43.646000000000001</v>
      </c>
    </row>
    <row r="191" spans="1:6">
      <c r="A191" s="160" t="s">
        <v>889</v>
      </c>
      <c r="B191" s="161">
        <v>0.45</v>
      </c>
      <c r="C191" s="162">
        <f t="shared" si="6"/>
        <v>19.640700000000002</v>
      </c>
      <c r="D191" s="162">
        <f t="shared" si="7"/>
        <v>24.005299999999998</v>
      </c>
      <c r="E191" s="163">
        <f t="shared" si="8"/>
        <v>32.007066666666667</v>
      </c>
      <c r="F191" s="157">
        <v>43.646000000000001</v>
      </c>
    </row>
    <row r="192" spans="1:6">
      <c r="A192" s="164" t="s">
        <v>890</v>
      </c>
      <c r="B192" s="165">
        <v>0.6</v>
      </c>
      <c r="C192" s="162">
        <f t="shared" si="6"/>
        <v>24.619679999999995</v>
      </c>
      <c r="D192" s="162">
        <f t="shared" si="7"/>
        <v>16.413119999999999</v>
      </c>
      <c r="E192" s="163">
        <f t="shared" si="8"/>
        <v>21.884159999999998</v>
      </c>
      <c r="F192" s="157">
        <v>41.032799999999995</v>
      </c>
    </row>
    <row r="193" spans="1:6">
      <c r="A193" s="164" t="s">
        <v>891</v>
      </c>
      <c r="B193" s="165">
        <v>0.6</v>
      </c>
      <c r="C193" s="162">
        <f t="shared" si="6"/>
        <v>24.619679999999995</v>
      </c>
      <c r="D193" s="162">
        <f t="shared" si="7"/>
        <v>16.413119999999999</v>
      </c>
      <c r="E193" s="163">
        <f t="shared" si="8"/>
        <v>21.884159999999998</v>
      </c>
      <c r="F193" s="157">
        <v>41.032799999999995</v>
      </c>
    </row>
    <row r="194" spans="1:6">
      <c r="A194" s="164" t="s">
        <v>892</v>
      </c>
      <c r="B194" s="165">
        <v>0.6</v>
      </c>
      <c r="C194" s="162">
        <f t="shared" si="6"/>
        <v>32.525999999999996</v>
      </c>
      <c r="D194" s="162">
        <f t="shared" si="7"/>
        <v>21.684000000000005</v>
      </c>
      <c r="E194" s="163">
        <f t="shared" si="8"/>
        <v>28.912000000000006</v>
      </c>
      <c r="F194" s="157">
        <v>54.21</v>
      </c>
    </row>
    <row r="195" spans="1:6">
      <c r="A195" s="164" t="s">
        <v>893</v>
      </c>
      <c r="B195" s="165">
        <v>0.6</v>
      </c>
      <c r="C195" s="162">
        <f t="shared" si="6"/>
        <v>32.525999999999996</v>
      </c>
      <c r="D195" s="162">
        <f t="shared" si="7"/>
        <v>21.684000000000005</v>
      </c>
      <c r="E195" s="163">
        <f t="shared" si="8"/>
        <v>28.912000000000006</v>
      </c>
      <c r="F195" s="157">
        <v>54.21</v>
      </c>
    </row>
    <row r="196" spans="1:6">
      <c r="A196" s="164" t="s">
        <v>894</v>
      </c>
      <c r="B196" s="165">
        <v>0.6</v>
      </c>
      <c r="C196" s="162">
        <f t="shared" ref="C196:C250" si="9">(F196*B196)</f>
        <v>32.525999999999996</v>
      </c>
      <c r="D196" s="162">
        <f t="shared" ref="D196:D259" si="10">F196-C196</f>
        <v>21.684000000000005</v>
      </c>
      <c r="E196" s="163">
        <f t="shared" ref="E196:E259" si="11">D196/0.75</f>
        <v>28.912000000000006</v>
      </c>
      <c r="F196" s="157">
        <v>54.21</v>
      </c>
    </row>
    <row r="197" spans="1:6">
      <c r="A197" s="164" t="s">
        <v>895</v>
      </c>
      <c r="B197" s="165">
        <v>0.6</v>
      </c>
      <c r="C197" s="162">
        <f t="shared" si="9"/>
        <v>51.040799999999997</v>
      </c>
      <c r="D197" s="162">
        <f t="shared" si="10"/>
        <v>34.027200000000001</v>
      </c>
      <c r="E197" s="163">
        <f t="shared" si="11"/>
        <v>45.369599999999998</v>
      </c>
      <c r="F197" s="157">
        <v>85.067999999999998</v>
      </c>
    </row>
    <row r="198" spans="1:6">
      <c r="A198" s="164" t="s">
        <v>896</v>
      </c>
      <c r="B198" s="165">
        <v>0.6</v>
      </c>
      <c r="C198" s="162">
        <f t="shared" si="9"/>
        <v>51.040799999999997</v>
      </c>
      <c r="D198" s="162">
        <f t="shared" si="10"/>
        <v>34.027200000000001</v>
      </c>
      <c r="E198" s="163">
        <f t="shared" si="11"/>
        <v>45.369599999999998</v>
      </c>
      <c r="F198" s="157">
        <v>85.067999999999998</v>
      </c>
    </row>
    <row r="199" spans="1:6">
      <c r="A199" s="164" t="s">
        <v>897</v>
      </c>
      <c r="B199" s="165">
        <v>0.6</v>
      </c>
      <c r="C199" s="162">
        <f t="shared" si="9"/>
        <v>51.040799999999997</v>
      </c>
      <c r="D199" s="162">
        <f t="shared" si="10"/>
        <v>34.027200000000001</v>
      </c>
      <c r="E199" s="163">
        <f t="shared" si="11"/>
        <v>45.369599999999998</v>
      </c>
      <c r="F199" s="157">
        <v>85.067999999999998</v>
      </c>
    </row>
    <row r="200" spans="1:6">
      <c r="A200" s="164" t="s">
        <v>898</v>
      </c>
      <c r="B200" s="165">
        <v>0.6</v>
      </c>
      <c r="C200" s="162">
        <f t="shared" si="9"/>
        <v>51.040799999999997</v>
      </c>
      <c r="D200" s="162">
        <f t="shared" si="10"/>
        <v>34.027200000000001</v>
      </c>
      <c r="E200" s="163">
        <f t="shared" si="11"/>
        <v>45.369599999999998</v>
      </c>
      <c r="F200" s="157">
        <v>85.067999999999998</v>
      </c>
    </row>
    <row r="201" spans="1:6">
      <c r="A201" s="166" t="s">
        <v>899</v>
      </c>
      <c r="B201" s="165">
        <v>0.6</v>
      </c>
      <c r="C201" s="162">
        <f t="shared" si="9"/>
        <v>51.040799999999997</v>
      </c>
      <c r="D201" s="162">
        <f t="shared" si="10"/>
        <v>34.027200000000001</v>
      </c>
      <c r="E201" s="163">
        <f t="shared" si="11"/>
        <v>45.369599999999998</v>
      </c>
      <c r="F201" s="157">
        <v>85.067999999999998</v>
      </c>
    </row>
    <row r="202" spans="1:6">
      <c r="A202" s="164" t="s">
        <v>900</v>
      </c>
      <c r="B202" s="165">
        <v>0.6</v>
      </c>
      <c r="C202" s="162">
        <f t="shared" si="9"/>
        <v>83.867040000000003</v>
      </c>
      <c r="D202" s="162">
        <f t="shared" si="10"/>
        <v>55.911360000000002</v>
      </c>
      <c r="E202" s="163">
        <f t="shared" si="11"/>
        <v>74.548479999999998</v>
      </c>
      <c r="F202" s="157">
        <v>139.7784</v>
      </c>
    </row>
    <row r="203" spans="1:6">
      <c r="A203" s="164" t="s">
        <v>901</v>
      </c>
      <c r="B203" s="165">
        <v>0.6</v>
      </c>
      <c r="C203" s="162">
        <f t="shared" si="9"/>
        <v>83.867040000000003</v>
      </c>
      <c r="D203" s="162">
        <f t="shared" si="10"/>
        <v>55.911360000000002</v>
      </c>
      <c r="E203" s="163">
        <f t="shared" si="11"/>
        <v>74.548479999999998</v>
      </c>
      <c r="F203" s="157">
        <v>139.7784</v>
      </c>
    </row>
    <row r="204" spans="1:6">
      <c r="A204" s="164" t="s">
        <v>902</v>
      </c>
      <c r="B204" s="165">
        <v>0.6</v>
      </c>
      <c r="C204" s="162">
        <f t="shared" si="9"/>
        <v>83.867040000000003</v>
      </c>
      <c r="D204" s="162">
        <f t="shared" si="10"/>
        <v>55.911360000000002</v>
      </c>
      <c r="E204" s="163">
        <f t="shared" si="11"/>
        <v>74.548479999999998</v>
      </c>
      <c r="F204" s="157">
        <v>139.7784</v>
      </c>
    </row>
    <row r="205" spans="1:6">
      <c r="A205" s="164" t="s">
        <v>903</v>
      </c>
      <c r="B205" s="165">
        <v>0.6</v>
      </c>
      <c r="C205" s="162">
        <f t="shared" si="9"/>
        <v>83.867040000000003</v>
      </c>
      <c r="D205" s="162">
        <f t="shared" si="10"/>
        <v>55.911360000000002</v>
      </c>
      <c r="E205" s="163">
        <f t="shared" si="11"/>
        <v>74.548479999999998</v>
      </c>
      <c r="F205" s="157">
        <v>139.7784</v>
      </c>
    </row>
    <row r="206" spans="1:6">
      <c r="A206" s="164" t="s">
        <v>904</v>
      </c>
      <c r="B206" s="165">
        <v>0.6</v>
      </c>
      <c r="C206" s="162">
        <f t="shared" si="9"/>
        <v>117.76079999999999</v>
      </c>
      <c r="D206" s="162">
        <f t="shared" si="10"/>
        <v>78.507200000000012</v>
      </c>
      <c r="E206" s="163">
        <f t="shared" si="11"/>
        <v>104.67626666666668</v>
      </c>
      <c r="F206" s="157">
        <v>196.268</v>
      </c>
    </row>
    <row r="207" spans="1:6">
      <c r="A207" s="164" t="s">
        <v>905</v>
      </c>
      <c r="B207" s="165">
        <v>0.6</v>
      </c>
      <c r="C207" s="162">
        <f t="shared" si="9"/>
        <v>117.76079999999999</v>
      </c>
      <c r="D207" s="162">
        <f t="shared" si="10"/>
        <v>78.507200000000012</v>
      </c>
      <c r="E207" s="163">
        <f t="shared" si="11"/>
        <v>104.67626666666668</v>
      </c>
      <c r="F207" s="157">
        <v>196.268</v>
      </c>
    </row>
    <row r="208" spans="1:6">
      <c r="A208" s="164" t="s">
        <v>906</v>
      </c>
      <c r="B208" s="165">
        <v>0.6</v>
      </c>
      <c r="C208" s="162">
        <f t="shared" si="9"/>
        <v>117.76079999999999</v>
      </c>
      <c r="D208" s="162">
        <f t="shared" si="10"/>
        <v>78.507200000000012</v>
      </c>
      <c r="E208" s="163">
        <f t="shared" si="11"/>
        <v>104.67626666666668</v>
      </c>
      <c r="F208" s="157">
        <v>196.268</v>
      </c>
    </row>
    <row r="209" spans="1:6">
      <c r="A209" s="164" t="s">
        <v>907</v>
      </c>
      <c r="B209" s="165">
        <v>0.6</v>
      </c>
      <c r="C209" s="162">
        <f t="shared" si="9"/>
        <v>117.76079999999999</v>
      </c>
      <c r="D209" s="162">
        <f t="shared" si="10"/>
        <v>78.507200000000012</v>
      </c>
      <c r="E209" s="163">
        <f t="shared" si="11"/>
        <v>104.67626666666668</v>
      </c>
      <c r="F209" s="157">
        <v>196.268</v>
      </c>
    </row>
    <row r="210" spans="1:6">
      <c r="A210" s="167" t="s">
        <v>908</v>
      </c>
      <c r="B210" s="161">
        <v>0.45</v>
      </c>
      <c r="C210" s="162">
        <f t="shared" si="9"/>
        <v>150.52032</v>
      </c>
      <c r="D210" s="162">
        <f t="shared" si="10"/>
        <v>183.96928</v>
      </c>
      <c r="E210" s="163">
        <f t="shared" si="11"/>
        <v>245.29237333333333</v>
      </c>
      <c r="F210" s="157">
        <v>334.4896</v>
      </c>
    </row>
    <row r="211" spans="1:6">
      <c r="A211" s="167" t="s">
        <v>909</v>
      </c>
      <c r="B211" s="161">
        <v>0.45</v>
      </c>
      <c r="C211" s="162">
        <f t="shared" si="9"/>
        <v>150.52032</v>
      </c>
      <c r="D211" s="162">
        <f t="shared" si="10"/>
        <v>183.96928</v>
      </c>
      <c r="E211" s="163">
        <f t="shared" si="11"/>
        <v>245.29237333333333</v>
      </c>
      <c r="F211" s="157">
        <v>334.4896</v>
      </c>
    </row>
    <row r="212" spans="1:6">
      <c r="A212" s="167" t="s">
        <v>910</v>
      </c>
      <c r="B212" s="161">
        <v>0.45</v>
      </c>
      <c r="C212" s="162">
        <f t="shared" si="9"/>
        <v>150.52032</v>
      </c>
      <c r="D212" s="162">
        <f t="shared" si="10"/>
        <v>183.96928</v>
      </c>
      <c r="E212" s="163">
        <f t="shared" si="11"/>
        <v>245.29237333333333</v>
      </c>
      <c r="F212" s="157">
        <v>334.4896</v>
      </c>
    </row>
    <row r="213" spans="1:6">
      <c r="A213" s="167" t="s">
        <v>911</v>
      </c>
      <c r="B213" s="161">
        <v>0.45</v>
      </c>
      <c r="C213" s="162">
        <f t="shared" si="9"/>
        <v>217.92420000000001</v>
      </c>
      <c r="D213" s="162">
        <f t="shared" si="10"/>
        <v>266.35180000000003</v>
      </c>
      <c r="E213" s="163">
        <f t="shared" si="11"/>
        <v>355.13573333333335</v>
      </c>
      <c r="F213" s="157">
        <v>484.27600000000001</v>
      </c>
    </row>
    <row r="214" spans="1:6">
      <c r="A214" s="167" t="s">
        <v>912</v>
      </c>
      <c r="B214" s="161">
        <v>0.45</v>
      </c>
      <c r="C214" s="162">
        <f t="shared" si="9"/>
        <v>217.92420000000001</v>
      </c>
      <c r="D214" s="162">
        <f t="shared" si="10"/>
        <v>266.35180000000003</v>
      </c>
      <c r="E214" s="163">
        <f t="shared" si="11"/>
        <v>355.13573333333335</v>
      </c>
      <c r="F214" s="157">
        <v>484.27600000000001</v>
      </c>
    </row>
    <row r="215" spans="1:6">
      <c r="A215" s="160" t="s">
        <v>913</v>
      </c>
      <c r="B215" s="161">
        <v>0.45</v>
      </c>
      <c r="C215" s="162">
        <f t="shared" si="9"/>
        <v>217.92420000000001</v>
      </c>
      <c r="D215" s="162">
        <f t="shared" si="10"/>
        <v>266.35180000000003</v>
      </c>
      <c r="E215" s="163">
        <f t="shared" si="11"/>
        <v>355.13573333333335</v>
      </c>
      <c r="F215" s="157">
        <v>484.27600000000001</v>
      </c>
    </row>
    <row r="216" spans="1:6">
      <c r="A216" s="160" t="s">
        <v>914</v>
      </c>
      <c r="B216" s="161">
        <v>0.45</v>
      </c>
      <c r="C216" s="162">
        <f t="shared" si="9"/>
        <v>353.18231999999995</v>
      </c>
      <c r="D216" s="162">
        <f t="shared" si="10"/>
        <v>431.66727999999995</v>
      </c>
      <c r="E216" s="163">
        <f t="shared" si="11"/>
        <v>575.55637333333323</v>
      </c>
      <c r="F216" s="157">
        <v>784.8495999999999</v>
      </c>
    </row>
    <row r="217" spans="1:6">
      <c r="A217" s="160" t="s">
        <v>915</v>
      </c>
      <c r="B217" s="161">
        <v>0.45</v>
      </c>
      <c r="C217" s="162">
        <f t="shared" si="9"/>
        <v>353.18231999999995</v>
      </c>
      <c r="D217" s="162">
        <f t="shared" si="10"/>
        <v>431.66727999999995</v>
      </c>
      <c r="E217" s="163">
        <f t="shared" si="11"/>
        <v>575.55637333333323</v>
      </c>
      <c r="F217" s="157">
        <v>784.8495999999999</v>
      </c>
    </row>
    <row r="218" spans="1:6">
      <c r="A218" s="160" t="s">
        <v>916</v>
      </c>
      <c r="B218" s="161">
        <v>0.45</v>
      </c>
      <c r="C218" s="162">
        <f t="shared" si="9"/>
        <v>510.65820000000002</v>
      </c>
      <c r="D218" s="162">
        <f t="shared" si="10"/>
        <v>624.13779999999997</v>
      </c>
      <c r="E218" s="163">
        <f t="shared" si="11"/>
        <v>832.18373333333329</v>
      </c>
      <c r="F218" s="157">
        <v>1134.796</v>
      </c>
    </row>
    <row r="219" spans="1:6">
      <c r="A219" s="160" t="s">
        <v>917</v>
      </c>
      <c r="B219" s="161">
        <v>0.45</v>
      </c>
      <c r="C219" s="162">
        <f t="shared" si="9"/>
        <v>510.65820000000002</v>
      </c>
      <c r="D219" s="162">
        <f t="shared" si="10"/>
        <v>624.13779999999997</v>
      </c>
      <c r="E219" s="163">
        <f t="shared" si="11"/>
        <v>832.18373333333329</v>
      </c>
      <c r="F219" s="157">
        <v>1134.796</v>
      </c>
    </row>
    <row r="220" spans="1:6">
      <c r="A220" s="292" t="s">
        <v>918</v>
      </c>
      <c r="B220" s="292"/>
      <c r="C220" s="292"/>
      <c r="D220" s="162">
        <f t="shared" si="10"/>
        <v>0</v>
      </c>
      <c r="E220" s="163">
        <f t="shared" si="11"/>
        <v>0</v>
      </c>
      <c r="F220" s="157"/>
    </row>
    <row r="221" spans="1:6">
      <c r="A221" s="160" t="s">
        <v>919</v>
      </c>
      <c r="B221" s="161">
        <v>0.45</v>
      </c>
      <c r="C221" s="162">
        <f t="shared" si="9"/>
        <v>12.459959999999999</v>
      </c>
      <c r="D221" s="162">
        <f t="shared" si="10"/>
        <v>15.228839999999998</v>
      </c>
      <c r="E221" s="163">
        <f t="shared" si="11"/>
        <v>20.305119999999999</v>
      </c>
      <c r="F221" s="157">
        <v>27.688799999999997</v>
      </c>
    </row>
    <row r="222" spans="1:6">
      <c r="A222" s="160" t="s">
        <v>920</v>
      </c>
      <c r="B222" s="161">
        <v>0.45</v>
      </c>
      <c r="C222" s="162">
        <f t="shared" si="9"/>
        <v>12.459959999999999</v>
      </c>
      <c r="D222" s="162">
        <f t="shared" si="10"/>
        <v>15.228839999999998</v>
      </c>
      <c r="E222" s="163">
        <f t="shared" si="11"/>
        <v>20.305119999999999</v>
      </c>
      <c r="F222" s="157">
        <v>27.688799999999997</v>
      </c>
    </row>
    <row r="223" spans="1:6">
      <c r="A223" s="164" t="s">
        <v>921</v>
      </c>
      <c r="B223" s="165">
        <v>0.6</v>
      </c>
      <c r="C223" s="162">
        <f t="shared" si="9"/>
        <v>15.946079999999998</v>
      </c>
      <c r="D223" s="162">
        <f t="shared" si="10"/>
        <v>10.63072</v>
      </c>
      <c r="E223" s="163">
        <f t="shared" si="11"/>
        <v>14.174293333333333</v>
      </c>
      <c r="F223" s="157">
        <v>26.576799999999999</v>
      </c>
    </row>
    <row r="224" spans="1:6">
      <c r="A224" s="164" t="s">
        <v>922</v>
      </c>
      <c r="B224" s="165">
        <v>0.6</v>
      </c>
      <c r="C224" s="162">
        <f t="shared" si="9"/>
        <v>15.946079999999998</v>
      </c>
      <c r="D224" s="162">
        <f t="shared" si="10"/>
        <v>10.63072</v>
      </c>
      <c r="E224" s="163">
        <f t="shared" si="11"/>
        <v>14.174293333333333</v>
      </c>
      <c r="F224" s="157">
        <v>26.576799999999999</v>
      </c>
    </row>
    <row r="225" spans="1:6">
      <c r="A225" s="164" t="s">
        <v>923</v>
      </c>
      <c r="B225" s="165">
        <v>0.6</v>
      </c>
      <c r="C225" s="162">
        <f t="shared" si="9"/>
        <v>15.946079999999998</v>
      </c>
      <c r="D225" s="162">
        <f t="shared" si="10"/>
        <v>10.63072</v>
      </c>
      <c r="E225" s="163">
        <f t="shared" si="11"/>
        <v>14.174293333333333</v>
      </c>
      <c r="F225" s="157">
        <v>26.576799999999999</v>
      </c>
    </row>
    <row r="226" spans="1:6">
      <c r="A226" s="164" t="s">
        <v>924</v>
      </c>
      <c r="B226" s="165">
        <v>0.6</v>
      </c>
      <c r="C226" s="162">
        <f t="shared" si="9"/>
        <v>18.614879999999999</v>
      </c>
      <c r="D226" s="162">
        <f t="shared" si="10"/>
        <v>12.40992</v>
      </c>
      <c r="E226" s="163">
        <f t="shared" si="11"/>
        <v>16.546559999999999</v>
      </c>
      <c r="F226" s="157">
        <v>31.024799999999999</v>
      </c>
    </row>
    <row r="227" spans="1:6">
      <c r="A227" s="164" t="s">
        <v>925</v>
      </c>
      <c r="B227" s="165">
        <v>0.6</v>
      </c>
      <c r="C227" s="162">
        <f t="shared" si="9"/>
        <v>18.614879999999999</v>
      </c>
      <c r="D227" s="162">
        <f t="shared" si="10"/>
        <v>12.40992</v>
      </c>
      <c r="E227" s="163">
        <f t="shared" si="11"/>
        <v>16.546559999999999</v>
      </c>
      <c r="F227" s="157">
        <v>31.024799999999999</v>
      </c>
    </row>
    <row r="228" spans="1:6">
      <c r="A228" s="164" t="s">
        <v>926</v>
      </c>
      <c r="B228" s="165">
        <v>0.6</v>
      </c>
      <c r="C228" s="162">
        <f t="shared" si="9"/>
        <v>18.614879999999999</v>
      </c>
      <c r="D228" s="162">
        <f t="shared" si="10"/>
        <v>12.40992</v>
      </c>
      <c r="E228" s="163">
        <f t="shared" si="11"/>
        <v>16.546559999999999</v>
      </c>
      <c r="F228" s="157">
        <v>31.024799999999999</v>
      </c>
    </row>
    <row r="229" spans="1:6">
      <c r="A229" s="166" t="s">
        <v>927</v>
      </c>
      <c r="B229" s="165">
        <v>0.6</v>
      </c>
      <c r="C229" s="162">
        <f t="shared" si="9"/>
        <v>32.626079999999995</v>
      </c>
      <c r="D229" s="162">
        <f t="shared" si="10"/>
        <v>21.750720000000001</v>
      </c>
      <c r="E229" s="163">
        <f t="shared" si="11"/>
        <v>29.000960000000003</v>
      </c>
      <c r="F229" s="157">
        <v>54.376799999999996</v>
      </c>
    </row>
    <row r="230" spans="1:6">
      <c r="A230" s="164" t="s">
        <v>928</v>
      </c>
      <c r="B230" s="165">
        <v>0.6</v>
      </c>
      <c r="C230" s="162">
        <f t="shared" si="9"/>
        <v>32.626079999999995</v>
      </c>
      <c r="D230" s="162">
        <f t="shared" si="10"/>
        <v>21.750720000000001</v>
      </c>
      <c r="E230" s="163">
        <f t="shared" si="11"/>
        <v>29.000960000000003</v>
      </c>
      <c r="F230" s="157">
        <v>54.376799999999996</v>
      </c>
    </row>
    <row r="231" spans="1:6">
      <c r="A231" s="164" t="s">
        <v>929</v>
      </c>
      <c r="B231" s="165">
        <v>0.6</v>
      </c>
      <c r="C231" s="162">
        <f t="shared" si="9"/>
        <v>32.626079999999995</v>
      </c>
      <c r="D231" s="162">
        <f t="shared" si="10"/>
        <v>21.750720000000001</v>
      </c>
      <c r="E231" s="163">
        <f t="shared" si="11"/>
        <v>29.000960000000003</v>
      </c>
      <c r="F231" s="157">
        <v>54.376799999999996</v>
      </c>
    </row>
    <row r="232" spans="1:6">
      <c r="A232" s="164" t="s">
        <v>930</v>
      </c>
      <c r="B232" s="165">
        <v>0.6</v>
      </c>
      <c r="C232" s="162">
        <f t="shared" si="9"/>
        <v>32.626079999999995</v>
      </c>
      <c r="D232" s="162">
        <f t="shared" si="10"/>
        <v>21.750720000000001</v>
      </c>
      <c r="E232" s="163">
        <f t="shared" si="11"/>
        <v>29.000960000000003</v>
      </c>
      <c r="F232" s="157">
        <v>54.376799999999996</v>
      </c>
    </row>
    <row r="233" spans="1:6">
      <c r="A233" s="166" t="s">
        <v>931</v>
      </c>
      <c r="B233" s="165">
        <v>0.6</v>
      </c>
      <c r="C233" s="162">
        <f t="shared" si="9"/>
        <v>48.372</v>
      </c>
      <c r="D233" s="162">
        <f t="shared" si="10"/>
        <v>32.248000000000005</v>
      </c>
      <c r="E233" s="163">
        <f t="shared" si="11"/>
        <v>42.997333333333337</v>
      </c>
      <c r="F233" s="157">
        <v>80.62</v>
      </c>
    </row>
    <row r="234" spans="1:6">
      <c r="A234" s="164" t="s">
        <v>932</v>
      </c>
      <c r="B234" s="165">
        <v>0.6</v>
      </c>
      <c r="C234" s="162">
        <f t="shared" si="9"/>
        <v>48.372</v>
      </c>
      <c r="D234" s="162">
        <f t="shared" si="10"/>
        <v>32.248000000000005</v>
      </c>
      <c r="E234" s="163">
        <f t="shared" si="11"/>
        <v>42.997333333333337</v>
      </c>
      <c r="F234" s="157">
        <v>80.62</v>
      </c>
    </row>
    <row r="235" spans="1:6">
      <c r="A235" s="164" t="s">
        <v>933</v>
      </c>
      <c r="B235" s="165">
        <v>0.6</v>
      </c>
      <c r="C235" s="162">
        <f t="shared" si="9"/>
        <v>48.372</v>
      </c>
      <c r="D235" s="162">
        <f t="shared" si="10"/>
        <v>32.248000000000005</v>
      </c>
      <c r="E235" s="163">
        <f t="shared" si="11"/>
        <v>42.997333333333337</v>
      </c>
      <c r="F235" s="157">
        <v>80.62</v>
      </c>
    </row>
    <row r="236" spans="1:6">
      <c r="A236" s="164" t="s">
        <v>934</v>
      </c>
      <c r="B236" s="165">
        <v>0.6</v>
      </c>
      <c r="C236" s="162">
        <f t="shared" si="9"/>
        <v>48.372</v>
      </c>
      <c r="D236" s="162">
        <f t="shared" si="10"/>
        <v>32.248000000000005</v>
      </c>
      <c r="E236" s="163">
        <f t="shared" si="11"/>
        <v>42.997333333333337</v>
      </c>
      <c r="F236" s="157">
        <v>80.62</v>
      </c>
    </row>
    <row r="237" spans="1:6">
      <c r="A237" s="164" t="s">
        <v>935</v>
      </c>
      <c r="B237" s="165">
        <v>0.6</v>
      </c>
      <c r="C237" s="162">
        <f t="shared" si="9"/>
        <v>72.658079999999998</v>
      </c>
      <c r="D237" s="162">
        <f t="shared" si="10"/>
        <v>48.438720000000004</v>
      </c>
      <c r="E237" s="163">
        <f t="shared" si="11"/>
        <v>64.584960000000009</v>
      </c>
      <c r="F237" s="157">
        <v>121.0968</v>
      </c>
    </row>
    <row r="238" spans="1:6">
      <c r="A238" s="164" t="s">
        <v>936</v>
      </c>
      <c r="B238" s="165">
        <v>0.6</v>
      </c>
      <c r="C238" s="162">
        <f t="shared" si="9"/>
        <v>72.658079999999998</v>
      </c>
      <c r="D238" s="162">
        <f t="shared" si="10"/>
        <v>48.438720000000004</v>
      </c>
      <c r="E238" s="163">
        <f t="shared" si="11"/>
        <v>64.584960000000009</v>
      </c>
      <c r="F238" s="157">
        <v>121.0968</v>
      </c>
    </row>
    <row r="239" spans="1:6">
      <c r="A239" s="164" t="s">
        <v>937</v>
      </c>
      <c r="B239" s="165">
        <v>0.6</v>
      </c>
      <c r="C239" s="162">
        <f t="shared" si="9"/>
        <v>72.658079999999998</v>
      </c>
      <c r="D239" s="162">
        <f t="shared" si="10"/>
        <v>48.438720000000004</v>
      </c>
      <c r="E239" s="163">
        <f t="shared" si="11"/>
        <v>64.584960000000009</v>
      </c>
      <c r="F239" s="157">
        <v>121.0968</v>
      </c>
    </row>
    <row r="240" spans="1:6">
      <c r="A240" s="167" t="s">
        <v>938</v>
      </c>
      <c r="B240" s="161">
        <v>0.45</v>
      </c>
      <c r="C240" s="162">
        <f t="shared" si="9"/>
        <v>61.399079999999998</v>
      </c>
      <c r="D240" s="162">
        <f t="shared" si="10"/>
        <v>75.043319999999994</v>
      </c>
      <c r="E240" s="163">
        <f t="shared" si="11"/>
        <v>100.05775999999999</v>
      </c>
      <c r="F240" s="157">
        <v>136.44239999999999</v>
      </c>
    </row>
    <row r="241" spans="1:6">
      <c r="A241" s="167" t="s">
        <v>939</v>
      </c>
      <c r="B241" s="161">
        <v>0.45</v>
      </c>
      <c r="C241" s="162">
        <f t="shared" si="9"/>
        <v>61.399079999999998</v>
      </c>
      <c r="D241" s="162">
        <f t="shared" si="10"/>
        <v>75.043319999999994</v>
      </c>
      <c r="E241" s="163">
        <f t="shared" si="11"/>
        <v>100.05775999999999</v>
      </c>
      <c r="F241" s="157">
        <v>136.44239999999999</v>
      </c>
    </row>
    <row r="242" spans="1:6">
      <c r="A242" s="167" t="s">
        <v>940</v>
      </c>
      <c r="B242" s="161">
        <v>0.45</v>
      </c>
      <c r="C242" s="162">
        <f t="shared" si="9"/>
        <v>61.399079999999998</v>
      </c>
      <c r="D242" s="162">
        <f t="shared" si="10"/>
        <v>75.043319999999994</v>
      </c>
      <c r="E242" s="163">
        <f t="shared" si="11"/>
        <v>100.05775999999999</v>
      </c>
      <c r="F242" s="157">
        <v>136.44239999999999</v>
      </c>
    </row>
    <row r="243" spans="1:6">
      <c r="A243" s="167" t="s">
        <v>941</v>
      </c>
      <c r="B243" s="161">
        <v>0.45</v>
      </c>
      <c r="C243" s="162">
        <f t="shared" si="9"/>
        <v>131.15484000000004</v>
      </c>
      <c r="D243" s="162">
        <f t="shared" si="10"/>
        <v>160.30036000000001</v>
      </c>
      <c r="E243" s="163">
        <f t="shared" si="11"/>
        <v>213.73381333333336</v>
      </c>
      <c r="F243" s="157">
        <v>291.45520000000005</v>
      </c>
    </row>
    <row r="244" spans="1:6">
      <c r="A244" s="167" t="s">
        <v>942</v>
      </c>
      <c r="B244" s="161">
        <v>0.45</v>
      </c>
      <c r="C244" s="162">
        <f t="shared" si="9"/>
        <v>131.15484000000004</v>
      </c>
      <c r="D244" s="162">
        <f t="shared" si="10"/>
        <v>160.30036000000001</v>
      </c>
      <c r="E244" s="163">
        <f t="shared" si="11"/>
        <v>213.73381333333336</v>
      </c>
      <c r="F244" s="157">
        <v>291.45520000000005</v>
      </c>
    </row>
    <row r="245" spans="1:6">
      <c r="A245" s="167" t="s">
        <v>943</v>
      </c>
      <c r="B245" s="161">
        <v>0.45</v>
      </c>
      <c r="C245" s="162">
        <f t="shared" si="9"/>
        <v>163.98107999999999</v>
      </c>
      <c r="D245" s="162">
        <f t="shared" si="10"/>
        <v>200.42132000000001</v>
      </c>
      <c r="E245" s="163">
        <f t="shared" si="11"/>
        <v>267.22842666666668</v>
      </c>
      <c r="F245" s="157">
        <v>364.4024</v>
      </c>
    </row>
    <row r="246" spans="1:6">
      <c r="A246" s="167" t="s">
        <v>944</v>
      </c>
      <c r="B246" s="161">
        <v>0.45</v>
      </c>
      <c r="C246" s="162">
        <f t="shared" si="9"/>
        <v>163.98107999999999</v>
      </c>
      <c r="D246" s="162">
        <f t="shared" si="10"/>
        <v>200.42132000000001</v>
      </c>
      <c r="E246" s="163">
        <f t="shared" si="11"/>
        <v>267.22842666666668</v>
      </c>
      <c r="F246" s="157">
        <v>364.4024</v>
      </c>
    </row>
    <row r="247" spans="1:6">
      <c r="A247" s="167" t="s">
        <v>945</v>
      </c>
      <c r="B247" s="161">
        <v>0.45</v>
      </c>
      <c r="C247" s="162">
        <f t="shared" si="9"/>
        <v>410.07780000000002</v>
      </c>
      <c r="D247" s="162">
        <f t="shared" si="10"/>
        <v>501.20619999999997</v>
      </c>
      <c r="E247" s="163">
        <f t="shared" si="11"/>
        <v>668.27493333333325</v>
      </c>
      <c r="F247" s="157">
        <v>911.28399999999999</v>
      </c>
    </row>
    <row r="248" spans="1:6">
      <c r="A248" s="292" t="s">
        <v>946</v>
      </c>
      <c r="B248" s="292"/>
      <c r="C248" s="292"/>
      <c r="D248" s="162">
        <f t="shared" si="10"/>
        <v>0</v>
      </c>
      <c r="E248" s="163">
        <f t="shared" si="11"/>
        <v>0</v>
      </c>
      <c r="F248" s="157"/>
    </row>
    <row r="249" spans="1:6">
      <c r="A249" s="166" t="s">
        <v>947</v>
      </c>
      <c r="B249" s="165">
        <v>0.6</v>
      </c>
      <c r="C249" s="168">
        <f t="shared" si="9"/>
        <v>40.632479999999994</v>
      </c>
      <c r="D249" s="162">
        <f t="shared" si="10"/>
        <v>27.088320000000003</v>
      </c>
      <c r="E249" s="163">
        <f t="shared" si="11"/>
        <v>36.117760000000004</v>
      </c>
      <c r="F249" s="157">
        <v>67.720799999999997</v>
      </c>
    </row>
    <row r="250" spans="1:6">
      <c r="A250" s="166" t="s">
        <v>948</v>
      </c>
      <c r="B250" s="165">
        <v>0.6</v>
      </c>
      <c r="C250" s="168">
        <f t="shared" si="9"/>
        <v>52.975679999999997</v>
      </c>
      <c r="D250" s="162">
        <f t="shared" si="10"/>
        <v>35.317120000000003</v>
      </c>
      <c r="E250" s="163">
        <f t="shared" si="11"/>
        <v>47.089493333333337</v>
      </c>
      <c r="F250" s="157">
        <v>88.2928</v>
      </c>
    </row>
    <row r="251" spans="1:6">
      <c r="A251" s="166"/>
      <c r="B251" s="165"/>
      <c r="C251" s="168"/>
      <c r="D251" s="162">
        <f t="shared" si="10"/>
        <v>0</v>
      </c>
      <c r="E251" s="163">
        <f t="shared" si="11"/>
        <v>0</v>
      </c>
      <c r="F251" s="157"/>
    </row>
    <row r="252" spans="1:6">
      <c r="A252" s="292" t="s">
        <v>949</v>
      </c>
      <c r="B252" s="292"/>
      <c r="C252" s="292"/>
      <c r="D252" s="162">
        <f t="shared" si="10"/>
        <v>0</v>
      </c>
      <c r="E252" s="163">
        <f t="shared" si="11"/>
        <v>0</v>
      </c>
      <c r="F252" s="157"/>
    </row>
    <row r="253" spans="1:6">
      <c r="A253" s="166"/>
      <c r="B253" s="165"/>
      <c r="C253" s="168"/>
      <c r="D253" s="162">
        <f t="shared" si="10"/>
        <v>0</v>
      </c>
      <c r="E253" s="163">
        <f t="shared" si="11"/>
        <v>0</v>
      </c>
      <c r="F253" s="157"/>
    </row>
    <row r="254" spans="1:6">
      <c r="A254" s="160" t="s">
        <v>950</v>
      </c>
      <c r="B254" s="161">
        <v>0.45</v>
      </c>
      <c r="C254" s="162">
        <f t="shared" ref="C254:C317" si="12">(F254*B254)</f>
        <v>10.95876</v>
      </c>
      <c r="D254" s="162">
        <f t="shared" si="10"/>
        <v>13.394039999999999</v>
      </c>
      <c r="E254" s="163">
        <f t="shared" si="11"/>
        <v>17.858719999999998</v>
      </c>
      <c r="F254" s="157">
        <v>24.352799999999998</v>
      </c>
    </row>
    <row r="255" spans="1:6">
      <c r="A255" s="164" t="s">
        <v>951</v>
      </c>
      <c r="B255" s="165">
        <v>0.6</v>
      </c>
      <c r="C255" s="162">
        <f t="shared" si="12"/>
        <v>15.245520000000001</v>
      </c>
      <c r="D255" s="162">
        <f t="shared" si="10"/>
        <v>10.163680000000001</v>
      </c>
      <c r="E255" s="163">
        <f t="shared" si="11"/>
        <v>13.551573333333335</v>
      </c>
      <c r="F255" s="157">
        <v>25.409200000000002</v>
      </c>
    </row>
    <row r="256" spans="1:6">
      <c r="A256" s="164" t="s">
        <v>952</v>
      </c>
      <c r="B256" s="165">
        <v>0.6</v>
      </c>
      <c r="C256" s="162">
        <f t="shared" si="12"/>
        <v>16.579920000000001</v>
      </c>
      <c r="D256" s="162">
        <f t="shared" si="10"/>
        <v>11.053280000000001</v>
      </c>
      <c r="E256" s="163">
        <f t="shared" si="11"/>
        <v>14.737706666666668</v>
      </c>
      <c r="F256" s="157">
        <v>27.633200000000002</v>
      </c>
    </row>
    <row r="257" spans="1:6">
      <c r="A257" s="164" t="s">
        <v>953</v>
      </c>
      <c r="B257" s="165">
        <v>0.6</v>
      </c>
      <c r="C257" s="162">
        <f t="shared" si="12"/>
        <v>22.351200000000002</v>
      </c>
      <c r="D257" s="162">
        <f t="shared" si="10"/>
        <v>14.9008</v>
      </c>
      <c r="E257" s="163">
        <f t="shared" si="11"/>
        <v>19.867733333333334</v>
      </c>
      <c r="F257" s="157">
        <v>37.252000000000002</v>
      </c>
    </row>
    <row r="258" spans="1:6">
      <c r="A258" s="164" t="s">
        <v>954</v>
      </c>
      <c r="B258" s="165">
        <v>0.6</v>
      </c>
      <c r="C258" s="162">
        <f t="shared" si="12"/>
        <v>37.296479999999995</v>
      </c>
      <c r="D258" s="162">
        <f t="shared" si="10"/>
        <v>24.864319999999999</v>
      </c>
      <c r="E258" s="163">
        <f t="shared" si="11"/>
        <v>33.152426666666663</v>
      </c>
      <c r="F258" s="157">
        <v>62.160799999999995</v>
      </c>
    </row>
    <row r="259" spans="1:6">
      <c r="A259" s="164" t="s">
        <v>955</v>
      </c>
      <c r="B259" s="165">
        <v>0.6</v>
      </c>
      <c r="C259" s="162">
        <f t="shared" si="12"/>
        <v>53.309280000000008</v>
      </c>
      <c r="D259" s="162">
        <f t="shared" si="10"/>
        <v>35.539520000000003</v>
      </c>
      <c r="E259" s="163">
        <f t="shared" si="11"/>
        <v>47.386026666666673</v>
      </c>
      <c r="F259" s="157">
        <v>88.848800000000011</v>
      </c>
    </row>
    <row r="260" spans="1:6">
      <c r="A260" s="167" t="s">
        <v>956</v>
      </c>
      <c r="B260" s="161">
        <v>0.45</v>
      </c>
      <c r="C260" s="162">
        <f t="shared" si="12"/>
        <v>59.697719999999997</v>
      </c>
      <c r="D260" s="162">
        <f t="shared" ref="D260:D323" si="13">F260-C260</f>
        <v>72.963879999999989</v>
      </c>
      <c r="E260" s="163">
        <f t="shared" ref="E260:E323" si="14">D260/0.75</f>
        <v>97.285173333333319</v>
      </c>
      <c r="F260" s="157">
        <v>132.66159999999999</v>
      </c>
    </row>
    <row r="261" spans="1:6">
      <c r="A261" s="167" t="s">
        <v>957</v>
      </c>
      <c r="B261" s="161">
        <v>0.45</v>
      </c>
      <c r="C261" s="162">
        <f t="shared" si="12"/>
        <v>144.86580000000001</v>
      </c>
      <c r="D261" s="162">
        <f t="shared" si="13"/>
        <v>177.05819999999997</v>
      </c>
      <c r="E261" s="163">
        <f t="shared" si="14"/>
        <v>236.07759999999996</v>
      </c>
      <c r="F261" s="157">
        <v>321.92399999999998</v>
      </c>
    </row>
    <row r="262" spans="1:6">
      <c r="A262" s="167" t="s">
        <v>958</v>
      </c>
      <c r="B262" s="161">
        <v>0.45</v>
      </c>
      <c r="C262" s="162">
        <f t="shared" si="12"/>
        <v>163.98107999999999</v>
      </c>
      <c r="D262" s="162">
        <f t="shared" si="13"/>
        <v>200.42132000000001</v>
      </c>
      <c r="E262" s="163">
        <f t="shared" si="14"/>
        <v>267.22842666666668</v>
      </c>
      <c r="F262" s="157">
        <v>364.4024</v>
      </c>
    </row>
    <row r="263" spans="1:6">
      <c r="A263" s="167" t="s">
        <v>959</v>
      </c>
      <c r="B263" s="161">
        <v>0.45</v>
      </c>
      <c r="C263" s="162">
        <f t="shared" si="12"/>
        <v>353.18231999999995</v>
      </c>
      <c r="D263" s="162">
        <f t="shared" si="13"/>
        <v>431.66727999999995</v>
      </c>
      <c r="E263" s="163">
        <f t="shared" si="14"/>
        <v>575.55637333333323</v>
      </c>
      <c r="F263" s="157">
        <v>784.8495999999999</v>
      </c>
    </row>
    <row r="264" spans="1:6">
      <c r="A264" s="292" t="s">
        <v>960</v>
      </c>
      <c r="B264" s="292"/>
      <c r="C264" s="292"/>
      <c r="D264" s="162">
        <f t="shared" si="13"/>
        <v>0</v>
      </c>
      <c r="E264" s="163">
        <f t="shared" si="14"/>
        <v>0</v>
      </c>
      <c r="F264" s="157"/>
    </row>
    <row r="265" spans="1:6">
      <c r="A265" s="166" t="s">
        <v>961</v>
      </c>
      <c r="B265" s="165">
        <v>0.6</v>
      </c>
      <c r="C265" s="168">
        <f t="shared" si="12"/>
        <v>28.58952</v>
      </c>
      <c r="D265" s="162">
        <f t="shared" si="13"/>
        <v>19.05968</v>
      </c>
      <c r="E265" s="163">
        <f t="shared" si="14"/>
        <v>25.412906666666668</v>
      </c>
      <c r="F265" s="157">
        <v>47.6492</v>
      </c>
    </row>
    <row r="266" spans="1:6">
      <c r="A266" s="166" t="s">
        <v>962</v>
      </c>
      <c r="B266" s="165">
        <v>0.6</v>
      </c>
      <c r="C266" s="168">
        <f t="shared" si="12"/>
        <v>34.961279999999995</v>
      </c>
      <c r="D266" s="162">
        <f t="shared" si="13"/>
        <v>23.307520000000004</v>
      </c>
      <c r="E266" s="163">
        <f t="shared" si="14"/>
        <v>31.076693333333338</v>
      </c>
      <c r="F266" s="157">
        <v>58.268799999999999</v>
      </c>
    </row>
    <row r="267" spans="1:6">
      <c r="A267" s="292" t="s">
        <v>963</v>
      </c>
      <c r="B267" s="292"/>
      <c r="C267" s="292"/>
      <c r="D267" s="162">
        <f t="shared" si="13"/>
        <v>0</v>
      </c>
      <c r="E267" s="163">
        <f t="shared" si="14"/>
        <v>0</v>
      </c>
      <c r="F267" s="157"/>
    </row>
    <row r="268" spans="1:6">
      <c r="A268" s="166" t="s">
        <v>964</v>
      </c>
      <c r="B268" s="165">
        <v>0.6</v>
      </c>
      <c r="C268" s="168">
        <f t="shared" si="12"/>
        <v>19.615679999999998</v>
      </c>
      <c r="D268" s="162">
        <f t="shared" si="13"/>
        <v>13.077120000000001</v>
      </c>
      <c r="E268" s="163">
        <f t="shared" si="14"/>
        <v>17.436160000000001</v>
      </c>
      <c r="F268" s="157">
        <v>32.692799999999998</v>
      </c>
    </row>
    <row r="269" spans="1:6">
      <c r="A269" s="166" t="s">
        <v>965</v>
      </c>
      <c r="B269" s="165">
        <v>0.6</v>
      </c>
      <c r="C269" s="168">
        <f t="shared" si="12"/>
        <v>19.615679999999998</v>
      </c>
      <c r="D269" s="162">
        <f t="shared" si="13"/>
        <v>13.077120000000001</v>
      </c>
      <c r="E269" s="163">
        <f t="shared" si="14"/>
        <v>17.436160000000001</v>
      </c>
      <c r="F269" s="157">
        <v>32.692799999999998</v>
      </c>
    </row>
    <row r="270" spans="1:6">
      <c r="A270" s="166" t="s">
        <v>966</v>
      </c>
      <c r="B270" s="165">
        <v>0.6</v>
      </c>
      <c r="C270" s="168">
        <f t="shared" si="12"/>
        <v>25.220159999999996</v>
      </c>
      <c r="D270" s="162">
        <f t="shared" si="13"/>
        <v>16.813439999999996</v>
      </c>
      <c r="E270" s="163">
        <f t="shared" si="14"/>
        <v>22.417919999999995</v>
      </c>
      <c r="F270" s="157">
        <v>42.033599999999993</v>
      </c>
    </row>
    <row r="271" spans="1:6">
      <c r="A271" s="166" t="s">
        <v>967</v>
      </c>
      <c r="B271" s="165">
        <v>0.6</v>
      </c>
      <c r="C271" s="168">
        <f t="shared" si="12"/>
        <v>25.220159999999996</v>
      </c>
      <c r="D271" s="162">
        <f t="shared" si="13"/>
        <v>16.813439999999996</v>
      </c>
      <c r="E271" s="163">
        <f t="shared" si="14"/>
        <v>22.417919999999995</v>
      </c>
      <c r="F271" s="157">
        <v>42.033599999999993</v>
      </c>
    </row>
    <row r="272" spans="1:6">
      <c r="A272" s="292" t="s">
        <v>968</v>
      </c>
      <c r="B272" s="292"/>
      <c r="C272" s="292"/>
      <c r="D272" s="162">
        <f t="shared" si="13"/>
        <v>0</v>
      </c>
      <c r="E272" s="163">
        <f t="shared" si="14"/>
        <v>0</v>
      </c>
      <c r="F272" s="157"/>
    </row>
    <row r="273" spans="1:6">
      <c r="A273" s="166" t="s">
        <v>969</v>
      </c>
      <c r="B273" s="165">
        <v>0.6</v>
      </c>
      <c r="C273" s="168">
        <f t="shared" si="12"/>
        <v>20.282879999999999</v>
      </c>
      <c r="D273" s="162">
        <f t="shared" si="13"/>
        <v>13.521920000000001</v>
      </c>
      <c r="E273" s="163">
        <f t="shared" si="14"/>
        <v>18.02922666666667</v>
      </c>
      <c r="F273" s="157">
        <v>33.8048</v>
      </c>
    </row>
    <row r="274" spans="1:6">
      <c r="A274" s="166" t="s">
        <v>970</v>
      </c>
      <c r="B274" s="165">
        <v>0.6</v>
      </c>
      <c r="C274" s="168">
        <f t="shared" si="12"/>
        <v>20.282879999999999</v>
      </c>
      <c r="D274" s="162">
        <f t="shared" si="13"/>
        <v>13.521920000000001</v>
      </c>
      <c r="E274" s="163">
        <f t="shared" si="14"/>
        <v>18.02922666666667</v>
      </c>
      <c r="F274" s="157">
        <v>33.8048</v>
      </c>
    </row>
    <row r="275" spans="1:6">
      <c r="A275" s="166" t="s">
        <v>971</v>
      </c>
      <c r="B275" s="165">
        <v>0.6</v>
      </c>
      <c r="C275" s="168">
        <f t="shared" si="12"/>
        <v>25.887359999999997</v>
      </c>
      <c r="D275" s="162">
        <f t="shared" si="13"/>
        <v>17.258239999999997</v>
      </c>
      <c r="E275" s="163">
        <f t="shared" si="14"/>
        <v>23.010986666666664</v>
      </c>
      <c r="F275" s="157">
        <v>43.145599999999995</v>
      </c>
    </row>
    <row r="276" spans="1:6">
      <c r="A276" s="166" t="s">
        <v>972</v>
      </c>
      <c r="B276" s="165">
        <v>0.6</v>
      </c>
      <c r="C276" s="168">
        <f t="shared" si="12"/>
        <v>25.887359999999997</v>
      </c>
      <c r="D276" s="162">
        <f t="shared" si="13"/>
        <v>17.258239999999997</v>
      </c>
      <c r="E276" s="163">
        <f t="shared" si="14"/>
        <v>23.010986666666664</v>
      </c>
      <c r="F276" s="157">
        <v>43.145599999999995</v>
      </c>
    </row>
    <row r="277" spans="1:6">
      <c r="A277" s="292" t="s">
        <v>973</v>
      </c>
      <c r="B277" s="292"/>
      <c r="C277" s="292"/>
      <c r="D277" s="162">
        <f t="shared" si="13"/>
        <v>0</v>
      </c>
      <c r="E277" s="163">
        <f t="shared" si="14"/>
        <v>0</v>
      </c>
      <c r="F277" s="157"/>
    </row>
    <row r="278" spans="1:6">
      <c r="A278" s="164" t="s">
        <v>974</v>
      </c>
      <c r="B278" s="165">
        <v>0.6</v>
      </c>
      <c r="C278" s="168">
        <f t="shared" si="12"/>
        <v>15.078719999999999</v>
      </c>
      <c r="D278" s="162">
        <f t="shared" si="13"/>
        <v>10.052480000000001</v>
      </c>
      <c r="E278" s="163">
        <f t="shared" si="14"/>
        <v>13.403306666666667</v>
      </c>
      <c r="F278" s="157">
        <v>25.1312</v>
      </c>
    </row>
    <row r="279" spans="1:6">
      <c r="A279" s="164" t="s">
        <v>975</v>
      </c>
      <c r="B279" s="165">
        <v>0.6</v>
      </c>
      <c r="C279" s="168">
        <f t="shared" si="12"/>
        <v>15.078719999999999</v>
      </c>
      <c r="D279" s="162">
        <f t="shared" si="13"/>
        <v>10.052480000000001</v>
      </c>
      <c r="E279" s="163">
        <f t="shared" si="14"/>
        <v>13.403306666666667</v>
      </c>
      <c r="F279" s="157">
        <v>25.1312</v>
      </c>
    </row>
    <row r="280" spans="1:6">
      <c r="A280" s="164" t="s">
        <v>976</v>
      </c>
      <c r="B280" s="165">
        <v>0.6</v>
      </c>
      <c r="C280" s="168">
        <f t="shared" si="12"/>
        <v>21.08352</v>
      </c>
      <c r="D280" s="162">
        <f t="shared" si="13"/>
        <v>14.055680000000002</v>
      </c>
      <c r="E280" s="163">
        <f t="shared" si="14"/>
        <v>18.740906666666671</v>
      </c>
      <c r="F280" s="157">
        <v>35.139200000000002</v>
      </c>
    </row>
    <row r="281" spans="1:6">
      <c r="A281" s="164" t="s">
        <v>977</v>
      </c>
      <c r="B281" s="165">
        <v>0.6</v>
      </c>
      <c r="C281" s="168">
        <f t="shared" si="12"/>
        <v>21.08352</v>
      </c>
      <c r="D281" s="162">
        <f t="shared" si="13"/>
        <v>14.055680000000002</v>
      </c>
      <c r="E281" s="163">
        <f t="shared" si="14"/>
        <v>18.740906666666671</v>
      </c>
      <c r="F281" s="157">
        <v>35.139200000000002</v>
      </c>
    </row>
    <row r="282" spans="1:6">
      <c r="A282" s="164" t="s">
        <v>978</v>
      </c>
      <c r="B282" s="165">
        <v>0.6</v>
      </c>
      <c r="C282" s="168">
        <f t="shared" si="12"/>
        <v>21.08352</v>
      </c>
      <c r="D282" s="162">
        <f t="shared" si="13"/>
        <v>14.055680000000002</v>
      </c>
      <c r="E282" s="163">
        <f t="shared" si="14"/>
        <v>18.740906666666671</v>
      </c>
      <c r="F282" s="157">
        <v>35.139200000000002</v>
      </c>
    </row>
    <row r="283" spans="1:6">
      <c r="A283" s="164" t="s">
        <v>979</v>
      </c>
      <c r="B283" s="165">
        <v>0.6</v>
      </c>
      <c r="C283" s="168">
        <f t="shared" si="12"/>
        <v>28.622879999999999</v>
      </c>
      <c r="D283" s="162">
        <f t="shared" si="13"/>
        <v>19.08192</v>
      </c>
      <c r="E283" s="163">
        <f t="shared" si="14"/>
        <v>25.44256</v>
      </c>
      <c r="F283" s="157">
        <v>47.704799999999999</v>
      </c>
    </row>
    <row r="284" spans="1:6">
      <c r="A284" s="164" t="s">
        <v>980</v>
      </c>
      <c r="B284" s="165">
        <v>0.6</v>
      </c>
      <c r="C284" s="168">
        <f t="shared" si="12"/>
        <v>28.622879999999999</v>
      </c>
      <c r="D284" s="162">
        <f t="shared" si="13"/>
        <v>19.08192</v>
      </c>
      <c r="E284" s="163">
        <f t="shared" si="14"/>
        <v>25.44256</v>
      </c>
      <c r="F284" s="157">
        <v>47.704799999999999</v>
      </c>
    </row>
    <row r="285" spans="1:6">
      <c r="A285" s="164" t="s">
        <v>981</v>
      </c>
      <c r="B285" s="165">
        <v>0.6</v>
      </c>
      <c r="C285" s="168">
        <f t="shared" si="12"/>
        <v>28.622879999999999</v>
      </c>
      <c r="D285" s="162">
        <f t="shared" si="13"/>
        <v>19.08192</v>
      </c>
      <c r="E285" s="163">
        <f t="shared" si="14"/>
        <v>25.44256</v>
      </c>
      <c r="F285" s="157">
        <v>47.704799999999999</v>
      </c>
    </row>
    <row r="286" spans="1:6">
      <c r="A286" s="164" t="s">
        <v>982</v>
      </c>
      <c r="B286" s="165">
        <v>0.6</v>
      </c>
      <c r="C286" s="168">
        <f t="shared" si="12"/>
        <v>32.626079999999995</v>
      </c>
      <c r="D286" s="162">
        <f t="shared" si="13"/>
        <v>21.750720000000001</v>
      </c>
      <c r="E286" s="163">
        <f t="shared" si="14"/>
        <v>29.000960000000003</v>
      </c>
      <c r="F286" s="157">
        <v>54.376799999999996</v>
      </c>
    </row>
    <row r="287" spans="1:6">
      <c r="A287" s="164" t="s">
        <v>983</v>
      </c>
      <c r="B287" s="165">
        <v>0.6</v>
      </c>
      <c r="C287" s="168">
        <f t="shared" si="12"/>
        <v>32.626079999999995</v>
      </c>
      <c r="D287" s="162">
        <f t="shared" si="13"/>
        <v>21.750720000000001</v>
      </c>
      <c r="E287" s="163">
        <f t="shared" si="14"/>
        <v>29.000960000000003</v>
      </c>
      <c r="F287" s="157">
        <v>54.376799999999996</v>
      </c>
    </row>
    <row r="288" spans="1:6">
      <c r="A288" s="164" t="s">
        <v>984</v>
      </c>
      <c r="B288" s="165">
        <v>0.6</v>
      </c>
      <c r="C288" s="168">
        <f t="shared" si="12"/>
        <v>32.626079999999995</v>
      </c>
      <c r="D288" s="162">
        <f t="shared" si="13"/>
        <v>21.750720000000001</v>
      </c>
      <c r="E288" s="163">
        <f t="shared" si="14"/>
        <v>29.000960000000003</v>
      </c>
      <c r="F288" s="157">
        <v>54.376799999999996</v>
      </c>
    </row>
    <row r="289" spans="1:6">
      <c r="A289" s="164" t="s">
        <v>985</v>
      </c>
      <c r="B289" s="165" t="s">
        <v>986</v>
      </c>
      <c r="C289" s="168" t="e">
        <f t="shared" si="12"/>
        <v>#VALUE!</v>
      </c>
      <c r="D289" s="162" t="e">
        <f t="shared" si="13"/>
        <v>#VALUE!</v>
      </c>
      <c r="E289" s="163" t="e">
        <f t="shared" si="14"/>
        <v>#VALUE!</v>
      </c>
      <c r="F289" s="157">
        <v>54.488</v>
      </c>
    </row>
    <row r="290" spans="1:6">
      <c r="A290" s="164" t="s">
        <v>987</v>
      </c>
      <c r="B290" s="165">
        <v>0.6</v>
      </c>
      <c r="C290" s="168">
        <f t="shared" si="12"/>
        <v>45.703199999999995</v>
      </c>
      <c r="D290" s="162">
        <f t="shared" si="13"/>
        <v>30.468800000000002</v>
      </c>
      <c r="E290" s="163">
        <f t="shared" si="14"/>
        <v>40.625066666666669</v>
      </c>
      <c r="F290" s="157">
        <v>76.171999999999997</v>
      </c>
    </row>
    <row r="291" spans="1:6">
      <c r="A291" s="164" t="s">
        <v>988</v>
      </c>
      <c r="B291" s="165">
        <v>0.6</v>
      </c>
      <c r="C291" s="168">
        <f t="shared" si="12"/>
        <v>45.703199999999995</v>
      </c>
      <c r="D291" s="162">
        <f t="shared" si="13"/>
        <v>30.468800000000002</v>
      </c>
      <c r="E291" s="163">
        <f t="shared" si="14"/>
        <v>40.625066666666669</v>
      </c>
      <c r="F291" s="157">
        <v>76.171999999999997</v>
      </c>
    </row>
    <row r="292" spans="1:6">
      <c r="A292" s="164" t="s">
        <v>989</v>
      </c>
      <c r="B292" s="165">
        <v>0.6</v>
      </c>
      <c r="C292" s="168">
        <f t="shared" si="12"/>
        <v>45.703199999999995</v>
      </c>
      <c r="D292" s="162">
        <f t="shared" si="13"/>
        <v>30.468800000000002</v>
      </c>
      <c r="E292" s="163">
        <f t="shared" si="14"/>
        <v>40.625066666666669</v>
      </c>
      <c r="F292" s="157">
        <v>76.171999999999997</v>
      </c>
    </row>
    <row r="293" spans="1:6">
      <c r="A293" s="164" t="s">
        <v>990</v>
      </c>
      <c r="B293" s="165">
        <v>0.6</v>
      </c>
      <c r="C293" s="168">
        <f t="shared" si="12"/>
        <v>45.703199999999995</v>
      </c>
      <c r="D293" s="162">
        <f t="shared" si="13"/>
        <v>30.468800000000002</v>
      </c>
      <c r="E293" s="163">
        <f t="shared" si="14"/>
        <v>40.625066666666669</v>
      </c>
      <c r="F293" s="157">
        <v>76.171999999999997</v>
      </c>
    </row>
    <row r="294" spans="1:6">
      <c r="A294" s="169" t="s">
        <v>991</v>
      </c>
      <c r="B294" s="165">
        <v>0.6</v>
      </c>
      <c r="C294" s="168">
        <f t="shared" si="12"/>
        <v>45.703199999999995</v>
      </c>
      <c r="D294" s="162">
        <f t="shared" si="13"/>
        <v>30.468800000000002</v>
      </c>
      <c r="E294" s="163">
        <f t="shared" si="14"/>
        <v>40.625066666666669</v>
      </c>
      <c r="F294" s="157">
        <v>76.171999999999997</v>
      </c>
    </row>
    <row r="295" spans="1:6">
      <c r="A295" s="164" t="s">
        <v>992</v>
      </c>
      <c r="B295" s="165">
        <v>0.6</v>
      </c>
      <c r="C295" s="168">
        <f t="shared" si="12"/>
        <v>53.709599999999995</v>
      </c>
      <c r="D295" s="162">
        <f t="shared" si="13"/>
        <v>35.806399999999996</v>
      </c>
      <c r="E295" s="163">
        <f t="shared" si="14"/>
        <v>47.74186666666666</v>
      </c>
      <c r="F295" s="157">
        <v>89.515999999999991</v>
      </c>
    </row>
    <row r="296" spans="1:6">
      <c r="A296" s="164" t="s">
        <v>993</v>
      </c>
      <c r="B296" s="165">
        <v>0.6</v>
      </c>
      <c r="C296" s="168">
        <f t="shared" si="12"/>
        <v>53.709599999999995</v>
      </c>
      <c r="D296" s="162">
        <f t="shared" si="13"/>
        <v>35.806399999999996</v>
      </c>
      <c r="E296" s="163">
        <f t="shared" si="14"/>
        <v>47.74186666666666</v>
      </c>
      <c r="F296" s="157">
        <v>89.515999999999991</v>
      </c>
    </row>
    <row r="297" spans="1:6">
      <c r="A297" s="164" t="s">
        <v>994</v>
      </c>
      <c r="B297" s="165">
        <v>0.6</v>
      </c>
      <c r="C297" s="168">
        <f t="shared" si="12"/>
        <v>53.709599999999995</v>
      </c>
      <c r="D297" s="162">
        <f t="shared" si="13"/>
        <v>35.806399999999996</v>
      </c>
      <c r="E297" s="163">
        <f t="shared" si="14"/>
        <v>47.74186666666666</v>
      </c>
      <c r="F297" s="157">
        <v>89.515999999999991</v>
      </c>
    </row>
    <row r="298" spans="1:6">
      <c r="A298" s="164" t="s">
        <v>995</v>
      </c>
      <c r="B298" s="165">
        <v>0.6</v>
      </c>
      <c r="C298" s="168">
        <f t="shared" si="12"/>
        <v>53.709599999999995</v>
      </c>
      <c r="D298" s="162">
        <f t="shared" si="13"/>
        <v>35.806399999999996</v>
      </c>
      <c r="E298" s="163">
        <f t="shared" si="14"/>
        <v>47.74186666666666</v>
      </c>
      <c r="F298" s="157">
        <v>89.515999999999991</v>
      </c>
    </row>
    <row r="299" spans="1:6">
      <c r="A299" s="164" t="s">
        <v>996</v>
      </c>
      <c r="B299" s="165">
        <v>0.6</v>
      </c>
      <c r="C299" s="168">
        <f t="shared" si="12"/>
        <v>53.709599999999995</v>
      </c>
      <c r="D299" s="162">
        <f t="shared" si="13"/>
        <v>35.806399999999996</v>
      </c>
      <c r="E299" s="163">
        <f t="shared" si="14"/>
        <v>47.74186666666666</v>
      </c>
      <c r="F299" s="157">
        <v>89.515999999999991</v>
      </c>
    </row>
    <row r="300" spans="1:6">
      <c r="A300" s="164" t="s">
        <v>997</v>
      </c>
      <c r="B300" s="165" t="s">
        <v>986</v>
      </c>
      <c r="C300" s="168" t="e">
        <f t="shared" si="12"/>
        <v>#VALUE!</v>
      </c>
      <c r="D300" s="162" t="e">
        <f t="shared" si="13"/>
        <v>#VALUE!</v>
      </c>
      <c r="E300" s="163" t="e">
        <f t="shared" si="14"/>
        <v>#VALUE!</v>
      </c>
      <c r="F300" s="157">
        <v>81.176000000000002</v>
      </c>
    </row>
    <row r="301" spans="1:6">
      <c r="A301" s="164" t="s">
        <v>998</v>
      </c>
      <c r="B301" s="165">
        <v>0.6</v>
      </c>
      <c r="C301" s="168">
        <f t="shared" si="12"/>
        <v>57.712800000000001</v>
      </c>
      <c r="D301" s="162">
        <f t="shared" si="13"/>
        <v>38.475200000000001</v>
      </c>
      <c r="E301" s="163">
        <f t="shared" si="14"/>
        <v>51.300266666666666</v>
      </c>
      <c r="F301" s="157">
        <v>96.188000000000002</v>
      </c>
    </row>
    <row r="302" spans="1:6">
      <c r="A302" s="166" t="s">
        <v>999</v>
      </c>
      <c r="B302" s="165">
        <v>0.6</v>
      </c>
      <c r="C302" s="168">
        <f t="shared" si="12"/>
        <v>57.712800000000001</v>
      </c>
      <c r="D302" s="162">
        <f t="shared" si="13"/>
        <v>38.475200000000001</v>
      </c>
      <c r="E302" s="163">
        <f t="shared" si="14"/>
        <v>51.300266666666666</v>
      </c>
      <c r="F302" s="157">
        <v>96.188000000000002</v>
      </c>
    </row>
    <row r="303" spans="1:6">
      <c r="A303" s="164" t="s">
        <v>1000</v>
      </c>
      <c r="B303" s="165">
        <v>0.6</v>
      </c>
      <c r="C303" s="168">
        <f t="shared" si="12"/>
        <v>57.712800000000001</v>
      </c>
      <c r="D303" s="162">
        <f t="shared" si="13"/>
        <v>38.475200000000001</v>
      </c>
      <c r="E303" s="163">
        <f t="shared" si="14"/>
        <v>51.300266666666666</v>
      </c>
      <c r="F303" s="157">
        <v>96.188000000000002</v>
      </c>
    </row>
    <row r="304" spans="1:6">
      <c r="A304" s="164" t="s">
        <v>1001</v>
      </c>
      <c r="B304" s="165">
        <v>0.6</v>
      </c>
      <c r="C304" s="168">
        <f t="shared" si="12"/>
        <v>57.712800000000001</v>
      </c>
      <c r="D304" s="162">
        <f t="shared" si="13"/>
        <v>38.475200000000001</v>
      </c>
      <c r="E304" s="163">
        <f t="shared" si="14"/>
        <v>51.300266666666666</v>
      </c>
      <c r="F304" s="157">
        <v>96.188000000000002</v>
      </c>
    </row>
    <row r="305" spans="1:6">
      <c r="A305" s="164" t="s">
        <v>1002</v>
      </c>
      <c r="B305" s="165">
        <v>0.6</v>
      </c>
      <c r="C305" s="168">
        <f t="shared" si="12"/>
        <v>57.712800000000001</v>
      </c>
      <c r="D305" s="162">
        <f t="shared" si="13"/>
        <v>38.475200000000001</v>
      </c>
      <c r="E305" s="163">
        <f t="shared" si="14"/>
        <v>51.300266666666666</v>
      </c>
      <c r="F305" s="157">
        <v>96.188000000000002</v>
      </c>
    </row>
    <row r="306" spans="1:6">
      <c r="A306" s="169" t="s">
        <v>1003</v>
      </c>
      <c r="B306" s="165">
        <v>0.6</v>
      </c>
      <c r="C306" s="168">
        <f t="shared" si="12"/>
        <v>52.041600000000003</v>
      </c>
      <c r="D306" s="162">
        <f t="shared" si="13"/>
        <v>34.694400000000002</v>
      </c>
      <c r="E306" s="163">
        <f t="shared" si="14"/>
        <v>46.2592</v>
      </c>
      <c r="F306" s="157">
        <v>86.736000000000004</v>
      </c>
    </row>
    <row r="307" spans="1:6">
      <c r="A307" s="164" t="s">
        <v>1004</v>
      </c>
      <c r="B307" s="165">
        <v>0.6</v>
      </c>
      <c r="C307" s="168">
        <f t="shared" si="12"/>
        <v>73.058399999999992</v>
      </c>
      <c r="D307" s="162">
        <f t="shared" si="13"/>
        <v>48.705600000000004</v>
      </c>
      <c r="E307" s="163">
        <f t="shared" si="14"/>
        <v>64.94080000000001</v>
      </c>
      <c r="F307" s="157">
        <v>121.764</v>
      </c>
    </row>
    <row r="308" spans="1:6">
      <c r="A308" s="164" t="s">
        <v>1005</v>
      </c>
      <c r="B308" s="165">
        <v>0.6</v>
      </c>
      <c r="C308" s="168">
        <f t="shared" si="12"/>
        <v>73.058399999999992</v>
      </c>
      <c r="D308" s="162">
        <f t="shared" si="13"/>
        <v>48.705600000000004</v>
      </c>
      <c r="E308" s="163">
        <f t="shared" si="14"/>
        <v>64.94080000000001</v>
      </c>
      <c r="F308" s="157">
        <v>121.764</v>
      </c>
    </row>
    <row r="309" spans="1:6">
      <c r="A309" s="164" t="s">
        <v>1006</v>
      </c>
      <c r="B309" s="165">
        <v>0.6</v>
      </c>
      <c r="C309" s="168">
        <f t="shared" si="12"/>
        <v>73.058399999999992</v>
      </c>
      <c r="D309" s="162">
        <f t="shared" si="13"/>
        <v>48.705600000000004</v>
      </c>
      <c r="E309" s="163">
        <f t="shared" si="14"/>
        <v>64.94080000000001</v>
      </c>
      <c r="F309" s="157">
        <v>121.764</v>
      </c>
    </row>
    <row r="310" spans="1:6">
      <c r="A310" s="164" t="s">
        <v>1007</v>
      </c>
      <c r="B310" s="165">
        <v>0.6</v>
      </c>
      <c r="C310" s="168">
        <f t="shared" si="12"/>
        <v>73.058399999999992</v>
      </c>
      <c r="D310" s="162">
        <f t="shared" si="13"/>
        <v>48.705600000000004</v>
      </c>
      <c r="E310" s="163">
        <f t="shared" si="14"/>
        <v>64.94080000000001</v>
      </c>
      <c r="F310" s="157">
        <v>121.764</v>
      </c>
    </row>
    <row r="311" spans="1:6">
      <c r="A311" s="164" t="s">
        <v>1008</v>
      </c>
      <c r="B311" s="165">
        <v>0.6</v>
      </c>
      <c r="C311" s="168">
        <f t="shared" si="12"/>
        <v>73.058399999999992</v>
      </c>
      <c r="D311" s="162">
        <f t="shared" si="13"/>
        <v>48.705600000000004</v>
      </c>
      <c r="E311" s="163">
        <f t="shared" si="14"/>
        <v>64.94080000000001</v>
      </c>
      <c r="F311" s="157">
        <v>121.764</v>
      </c>
    </row>
    <row r="312" spans="1:6">
      <c r="A312" s="164" t="s">
        <v>1009</v>
      </c>
      <c r="B312" s="165" t="s">
        <v>986</v>
      </c>
      <c r="C312" s="168" t="e">
        <f t="shared" si="12"/>
        <v>#VALUE!</v>
      </c>
      <c r="D312" s="162" t="e">
        <f t="shared" si="13"/>
        <v>#VALUE!</v>
      </c>
      <c r="E312" s="163" t="e">
        <f t="shared" si="14"/>
        <v>#VALUE!</v>
      </c>
      <c r="F312" s="157">
        <v>75.616</v>
      </c>
    </row>
    <row r="313" spans="1:6">
      <c r="A313" s="166" t="s">
        <v>1010</v>
      </c>
      <c r="B313" s="165" t="s">
        <v>986</v>
      </c>
      <c r="C313" s="168" t="e">
        <f t="shared" si="12"/>
        <v>#VALUE!</v>
      </c>
      <c r="D313" s="162" t="e">
        <f t="shared" si="13"/>
        <v>#VALUE!</v>
      </c>
      <c r="E313" s="163" t="e">
        <f t="shared" si="14"/>
        <v>#VALUE!</v>
      </c>
      <c r="F313" s="157">
        <v>130.10399999999998</v>
      </c>
    </row>
    <row r="314" spans="1:6">
      <c r="A314" s="164" t="s">
        <v>1011</v>
      </c>
      <c r="B314" s="165" t="s">
        <v>986</v>
      </c>
      <c r="C314" s="168" t="e">
        <f t="shared" si="12"/>
        <v>#VALUE!</v>
      </c>
      <c r="D314" s="162" t="e">
        <f t="shared" si="13"/>
        <v>#VALUE!</v>
      </c>
      <c r="E314" s="163" t="e">
        <f t="shared" si="14"/>
        <v>#VALUE!</v>
      </c>
      <c r="F314" s="157">
        <v>130.10399999999998</v>
      </c>
    </row>
    <row r="315" spans="1:6">
      <c r="A315" s="166" t="s">
        <v>1012</v>
      </c>
      <c r="B315" s="165" t="s">
        <v>986</v>
      </c>
      <c r="C315" s="168" t="e">
        <f t="shared" si="12"/>
        <v>#VALUE!</v>
      </c>
      <c r="D315" s="162" t="e">
        <f t="shared" si="13"/>
        <v>#VALUE!</v>
      </c>
      <c r="E315" s="163" t="e">
        <f t="shared" si="14"/>
        <v>#VALUE!</v>
      </c>
      <c r="F315" s="157">
        <v>130.10399999999998</v>
      </c>
    </row>
    <row r="316" spans="1:6">
      <c r="A316" s="164" t="s">
        <v>1013</v>
      </c>
      <c r="B316" s="165" t="s">
        <v>986</v>
      </c>
      <c r="C316" s="168" t="e">
        <f t="shared" si="12"/>
        <v>#VALUE!</v>
      </c>
      <c r="D316" s="162" t="e">
        <f t="shared" si="13"/>
        <v>#VALUE!</v>
      </c>
      <c r="E316" s="163" t="e">
        <f t="shared" si="14"/>
        <v>#VALUE!</v>
      </c>
      <c r="F316" s="157">
        <v>130.10399999999998</v>
      </c>
    </row>
    <row r="317" spans="1:6">
      <c r="A317" s="164" t="s">
        <v>1014</v>
      </c>
      <c r="B317" s="165" t="s">
        <v>986</v>
      </c>
      <c r="C317" s="168" t="e">
        <f t="shared" si="12"/>
        <v>#VALUE!</v>
      </c>
      <c r="D317" s="162" t="e">
        <f t="shared" si="13"/>
        <v>#VALUE!</v>
      </c>
      <c r="E317" s="163" t="e">
        <f t="shared" si="14"/>
        <v>#VALUE!</v>
      </c>
      <c r="F317" s="157">
        <v>130.10399999999998</v>
      </c>
    </row>
    <row r="318" spans="1:6">
      <c r="A318" s="170" t="s">
        <v>1015</v>
      </c>
      <c r="B318" s="165" t="s">
        <v>986</v>
      </c>
      <c r="C318" s="168" t="e">
        <f t="shared" ref="C318:C322" si="15">(F318*B318)</f>
        <v>#VALUE!</v>
      </c>
      <c r="D318" s="162" t="e">
        <f t="shared" si="13"/>
        <v>#VALUE!</v>
      </c>
      <c r="E318" s="163" t="e">
        <f t="shared" si="14"/>
        <v>#VALUE!</v>
      </c>
      <c r="F318" s="157">
        <v>372.52</v>
      </c>
    </row>
    <row r="319" spans="1:6">
      <c r="A319" s="170" t="s">
        <v>1016</v>
      </c>
      <c r="B319" s="165" t="s">
        <v>986</v>
      </c>
      <c r="C319" s="168" t="e">
        <f t="shared" si="15"/>
        <v>#VALUE!</v>
      </c>
      <c r="D319" s="162" t="e">
        <f t="shared" si="13"/>
        <v>#VALUE!</v>
      </c>
      <c r="E319" s="163" t="e">
        <f t="shared" si="14"/>
        <v>#VALUE!</v>
      </c>
      <c r="F319" s="157">
        <v>372.52</v>
      </c>
    </row>
    <row r="320" spans="1:6">
      <c r="A320" s="166" t="s">
        <v>1017</v>
      </c>
      <c r="B320" s="165" t="s">
        <v>986</v>
      </c>
      <c r="C320" s="168" t="e">
        <f t="shared" si="15"/>
        <v>#VALUE!</v>
      </c>
      <c r="D320" s="162" t="e">
        <f t="shared" si="13"/>
        <v>#VALUE!</v>
      </c>
      <c r="E320" s="163" t="e">
        <f t="shared" si="14"/>
        <v>#VALUE!</v>
      </c>
      <c r="F320" s="157">
        <v>372.52</v>
      </c>
    </row>
    <row r="321" spans="1:6">
      <c r="A321" s="166" t="s">
        <v>1018</v>
      </c>
      <c r="B321" s="165" t="s">
        <v>986</v>
      </c>
      <c r="C321" s="168" t="e">
        <f t="shared" si="15"/>
        <v>#VALUE!</v>
      </c>
      <c r="D321" s="162" t="e">
        <f t="shared" si="13"/>
        <v>#VALUE!</v>
      </c>
      <c r="E321" s="163" t="e">
        <f t="shared" si="14"/>
        <v>#VALUE!</v>
      </c>
      <c r="F321" s="157">
        <v>372.52</v>
      </c>
    </row>
    <row r="322" spans="1:6">
      <c r="A322" s="166" t="s">
        <v>1019</v>
      </c>
      <c r="B322" s="165" t="s">
        <v>986</v>
      </c>
      <c r="C322" s="168" t="e">
        <f t="shared" si="15"/>
        <v>#VALUE!</v>
      </c>
      <c r="D322" s="162" t="e">
        <f t="shared" si="13"/>
        <v>#VALUE!</v>
      </c>
      <c r="E322" s="163" t="e">
        <f t="shared" si="14"/>
        <v>#VALUE!</v>
      </c>
      <c r="F322" s="157">
        <v>372.52</v>
      </c>
    </row>
    <row r="323" spans="1:6">
      <c r="A323" s="292" t="s">
        <v>1020</v>
      </c>
      <c r="B323" s="292"/>
      <c r="C323" s="292"/>
      <c r="D323" s="162">
        <f t="shared" si="13"/>
        <v>0</v>
      </c>
      <c r="E323" s="163">
        <f t="shared" si="14"/>
        <v>0</v>
      </c>
      <c r="F323" s="157"/>
    </row>
    <row r="324" spans="1:6">
      <c r="A324" s="166" t="s">
        <v>1021</v>
      </c>
      <c r="B324" s="165">
        <v>0.6</v>
      </c>
      <c r="C324" s="168">
        <f t="shared" ref="C324:C332" si="16">(F324*B324)</f>
        <v>66.186239999999998</v>
      </c>
      <c r="D324" s="162">
        <f t="shared" ref="D324:D351" si="17">F324-C324</f>
        <v>44.124160000000003</v>
      </c>
      <c r="E324" s="163">
        <f t="shared" ref="E324:E351" si="18">D324/0.75</f>
        <v>58.832213333333335</v>
      </c>
      <c r="F324" s="157">
        <v>110.3104</v>
      </c>
    </row>
    <row r="325" spans="1:6">
      <c r="A325" s="166" t="s">
        <v>1022</v>
      </c>
      <c r="B325" s="165">
        <v>0.6</v>
      </c>
      <c r="C325" s="168">
        <f t="shared" si="16"/>
        <v>86.402399999999986</v>
      </c>
      <c r="D325" s="162">
        <f t="shared" si="17"/>
        <v>57.601600000000005</v>
      </c>
      <c r="E325" s="163">
        <f t="shared" si="18"/>
        <v>76.802133333333344</v>
      </c>
      <c r="F325" s="157">
        <v>144.00399999999999</v>
      </c>
    </row>
    <row r="326" spans="1:6">
      <c r="A326" s="166" t="s">
        <v>1023</v>
      </c>
      <c r="B326" s="165">
        <v>0.6</v>
      </c>
      <c r="C326" s="168">
        <f t="shared" si="16"/>
        <v>86.402399999999986</v>
      </c>
      <c r="D326" s="162">
        <f t="shared" si="17"/>
        <v>57.601600000000005</v>
      </c>
      <c r="E326" s="163">
        <f t="shared" si="18"/>
        <v>76.802133333333344</v>
      </c>
      <c r="F326" s="157">
        <v>144.00399999999999</v>
      </c>
    </row>
    <row r="327" spans="1:6">
      <c r="A327" s="166" t="s">
        <v>1024</v>
      </c>
      <c r="B327" s="165">
        <v>0.6</v>
      </c>
      <c r="C327" s="168">
        <f t="shared" si="16"/>
        <v>92.006879999999995</v>
      </c>
      <c r="D327" s="162">
        <f t="shared" si="17"/>
        <v>61.337919999999997</v>
      </c>
      <c r="E327" s="163">
        <f t="shared" si="18"/>
        <v>81.783893333333324</v>
      </c>
      <c r="F327" s="157">
        <v>153.34479999999999</v>
      </c>
    </row>
    <row r="328" spans="1:6">
      <c r="A328" s="166" t="s">
        <v>1025</v>
      </c>
      <c r="B328" s="165">
        <v>0.6</v>
      </c>
      <c r="C328" s="168">
        <f t="shared" si="16"/>
        <v>92.006879999999995</v>
      </c>
      <c r="D328" s="162">
        <f t="shared" si="17"/>
        <v>61.337919999999997</v>
      </c>
      <c r="E328" s="163">
        <f t="shared" si="18"/>
        <v>81.783893333333324</v>
      </c>
      <c r="F328" s="157">
        <v>153.34479999999999</v>
      </c>
    </row>
    <row r="329" spans="1:6">
      <c r="A329" s="166" t="s">
        <v>1026</v>
      </c>
      <c r="B329" s="165">
        <v>0.6</v>
      </c>
      <c r="C329" s="168">
        <f t="shared" si="16"/>
        <v>111.08879999999999</v>
      </c>
      <c r="D329" s="162">
        <f t="shared" si="17"/>
        <v>74.059200000000004</v>
      </c>
      <c r="E329" s="163">
        <f t="shared" si="18"/>
        <v>98.74560000000001</v>
      </c>
      <c r="F329" s="157">
        <v>185.148</v>
      </c>
    </row>
    <row r="330" spans="1:6">
      <c r="A330" s="166" t="s">
        <v>1027</v>
      </c>
      <c r="B330" s="165">
        <v>0.6</v>
      </c>
      <c r="C330" s="168">
        <f t="shared" si="16"/>
        <v>111.08879999999999</v>
      </c>
      <c r="D330" s="162">
        <f t="shared" si="17"/>
        <v>74.059200000000004</v>
      </c>
      <c r="E330" s="163">
        <f t="shared" si="18"/>
        <v>98.74560000000001</v>
      </c>
      <c r="F330" s="157">
        <v>185.148</v>
      </c>
    </row>
    <row r="331" spans="1:6">
      <c r="A331" s="166" t="s">
        <v>1028</v>
      </c>
      <c r="B331" s="165">
        <v>0.6</v>
      </c>
      <c r="C331" s="168">
        <f t="shared" si="16"/>
        <v>111.08879999999999</v>
      </c>
      <c r="D331" s="162">
        <f t="shared" si="17"/>
        <v>74.059200000000004</v>
      </c>
      <c r="E331" s="163">
        <f t="shared" si="18"/>
        <v>98.74560000000001</v>
      </c>
      <c r="F331" s="157">
        <v>185.148</v>
      </c>
    </row>
    <row r="332" spans="1:6">
      <c r="A332" s="166" t="s">
        <v>1029</v>
      </c>
      <c r="B332" s="165">
        <v>0.6</v>
      </c>
      <c r="C332" s="168">
        <f t="shared" si="16"/>
        <v>111.08879999999999</v>
      </c>
      <c r="D332" s="162">
        <f t="shared" si="17"/>
        <v>74.059200000000004</v>
      </c>
      <c r="E332" s="163">
        <f t="shared" si="18"/>
        <v>98.74560000000001</v>
      </c>
      <c r="F332" s="157">
        <v>185.148</v>
      </c>
    </row>
    <row r="333" spans="1:6">
      <c r="A333" s="166"/>
      <c r="B333" s="165"/>
      <c r="C333" s="168"/>
      <c r="D333" s="162">
        <f t="shared" si="17"/>
        <v>0</v>
      </c>
      <c r="E333" s="163">
        <f t="shared" si="18"/>
        <v>0</v>
      </c>
      <c r="F333" s="157"/>
    </row>
    <row r="334" spans="1:6">
      <c r="A334" s="292" t="s">
        <v>1030</v>
      </c>
      <c r="B334" s="292"/>
      <c r="C334" s="292"/>
      <c r="D334" s="162">
        <f t="shared" si="17"/>
        <v>0</v>
      </c>
      <c r="E334" s="163">
        <f t="shared" si="18"/>
        <v>0</v>
      </c>
      <c r="F334" s="157"/>
    </row>
    <row r="335" spans="1:6">
      <c r="A335" s="166"/>
      <c r="B335" s="165"/>
      <c r="C335" s="168"/>
      <c r="D335" s="162">
        <f t="shared" si="17"/>
        <v>0</v>
      </c>
      <c r="E335" s="163">
        <f t="shared" si="18"/>
        <v>0</v>
      </c>
      <c r="F335" s="157"/>
    </row>
    <row r="336" spans="1:6">
      <c r="A336" s="160" t="s">
        <v>1031</v>
      </c>
      <c r="B336" s="161">
        <v>0.45</v>
      </c>
      <c r="C336" s="162">
        <f t="shared" ref="C336:C341" si="19">(F336*B336)</f>
        <v>14.2614</v>
      </c>
      <c r="D336" s="162">
        <f t="shared" si="17"/>
        <v>17.430599999999998</v>
      </c>
      <c r="E336" s="163">
        <f t="shared" si="18"/>
        <v>23.240799999999997</v>
      </c>
      <c r="F336" s="157">
        <v>31.692</v>
      </c>
    </row>
    <row r="337" spans="1:6">
      <c r="A337" s="160" t="s">
        <v>1032</v>
      </c>
      <c r="B337" s="161">
        <v>0.45</v>
      </c>
      <c r="C337" s="162">
        <f t="shared" si="19"/>
        <v>16.763400000000001</v>
      </c>
      <c r="D337" s="162">
        <f t="shared" si="17"/>
        <v>20.488600000000002</v>
      </c>
      <c r="E337" s="163">
        <f t="shared" si="18"/>
        <v>27.318133333333336</v>
      </c>
      <c r="F337" s="157">
        <v>37.252000000000002</v>
      </c>
    </row>
    <row r="338" spans="1:6">
      <c r="A338" s="160" t="s">
        <v>1033</v>
      </c>
      <c r="B338" s="161">
        <v>0.45</v>
      </c>
      <c r="C338" s="162">
        <f t="shared" si="19"/>
        <v>24.7698</v>
      </c>
      <c r="D338" s="162">
        <f t="shared" si="17"/>
        <v>30.274199999999997</v>
      </c>
      <c r="E338" s="163">
        <f t="shared" si="18"/>
        <v>40.365599999999993</v>
      </c>
      <c r="F338" s="157">
        <v>55.043999999999997</v>
      </c>
    </row>
    <row r="339" spans="1:6">
      <c r="A339" s="160" t="s">
        <v>1034</v>
      </c>
      <c r="B339" s="161">
        <v>0.45</v>
      </c>
      <c r="C339" s="162">
        <f t="shared" si="19"/>
        <v>33.276599999999995</v>
      </c>
      <c r="D339" s="162">
        <f t="shared" si="17"/>
        <v>40.671399999999998</v>
      </c>
      <c r="E339" s="163">
        <f t="shared" si="18"/>
        <v>54.228533333333331</v>
      </c>
      <c r="F339" s="157">
        <v>73.947999999999993</v>
      </c>
    </row>
    <row r="340" spans="1:6">
      <c r="A340" s="160" t="s">
        <v>1035</v>
      </c>
      <c r="B340" s="161">
        <v>0.45</v>
      </c>
      <c r="C340" s="162">
        <f t="shared" si="19"/>
        <v>39.281400000000005</v>
      </c>
      <c r="D340" s="162">
        <f t="shared" si="17"/>
        <v>48.010599999999997</v>
      </c>
      <c r="E340" s="163">
        <f t="shared" si="18"/>
        <v>64.014133333333334</v>
      </c>
      <c r="F340" s="157">
        <v>87.292000000000002</v>
      </c>
    </row>
    <row r="341" spans="1:6">
      <c r="A341" s="160" t="s">
        <v>1036</v>
      </c>
      <c r="B341" s="161">
        <v>0.45</v>
      </c>
      <c r="C341" s="162">
        <f t="shared" si="19"/>
        <v>49.789800000000007</v>
      </c>
      <c r="D341" s="162">
        <f t="shared" si="17"/>
        <v>60.854199999999999</v>
      </c>
      <c r="E341" s="163">
        <f t="shared" si="18"/>
        <v>81.138933333333327</v>
      </c>
      <c r="F341" s="157">
        <v>110.64400000000001</v>
      </c>
    </row>
    <row r="342" spans="1:6">
      <c r="A342" s="166"/>
      <c r="B342" s="165"/>
      <c r="C342" s="168"/>
      <c r="D342" s="162">
        <f t="shared" si="17"/>
        <v>0</v>
      </c>
      <c r="E342" s="163">
        <f t="shared" si="18"/>
        <v>0</v>
      </c>
      <c r="F342" s="157"/>
    </row>
    <row r="343" spans="1:6">
      <c r="A343" s="292" t="s">
        <v>1037</v>
      </c>
      <c r="B343" s="292"/>
      <c r="C343" s="292"/>
      <c r="D343" s="162">
        <f t="shared" si="17"/>
        <v>0</v>
      </c>
      <c r="E343" s="163">
        <f t="shared" si="18"/>
        <v>0</v>
      </c>
      <c r="F343" s="157"/>
    </row>
    <row r="344" spans="1:6">
      <c r="A344" s="166"/>
      <c r="B344" s="165"/>
      <c r="C344" s="168"/>
      <c r="D344" s="162">
        <f t="shared" si="17"/>
        <v>0</v>
      </c>
      <c r="E344" s="163">
        <f t="shared" si="18"/>
        <v>0</v>
      </c>
      <c r="F344" s="157"/>
    </row>
    <row r="345" spans="1:6">
      <c r="A345" s="160" t="s">
        <v>1038</v>
      </c>
      <c r="B345" s="161">
        <v>0.45</v>
      </c>
      <c r="C345" s="162">
        <f t="shared" ref="C345:C351" si="20">(F345*B345)</f>
        <v>126.12582</v>
      </c>
      <c r="D345" s="162">
        <f t="shared" si="17"/>
        <v>154.15378000000001</v>
      </c>
      <c r="E345" s="163">
        <f t="shared" si="18"/>
        <v>205.53837333333334</v>
      </c>
      <c r="F345" s="157">
        <v>280.27960000000002</v>
      </c>
    </row>
    <row r="346" spans="1:6">
      <c r="A346" s="160" t="s">
        <v>1039</v>
      </c>
      <c r="B346" s="161">
        <v>0.45</v>
      </c>
      <c r="C346" s="162">
        <f t="shared" si="20"/>
        <v>126.12582</v>
      </c>
      <c r="D346" s="162">
        <f t="shared" si="17"/>
        <v>154.15378000000001</v>
      </c>
      <c r="E346" s="163">
        <f t="shared" si="18"/>
        <v>205.53837333333334</v>
      </c>
      <c r="F346" s="157">
        <v>280.27960000000002</v>
      </c>
    </row>
    <row r="347" spans="1:6">
      <c r="A347" s="160" t="s">
        <v>1040</v>
      </c>
      <c r="B347" s="161">
        <v>0.45</v>
      </c>
      <c r="C347" s="162">
        <f t="shared" si="20"/>
        <v>157.97628</v>
      </c>
      <c r="D347" s="162">
        <f t="shared" si="17"/>
        <v>193.08212</v>
      </c>
      <c r="E347" s="163">
        <f t="shared" si="18"/>
        <v>257.44282666666669</v>
      </c>
      <c r="F347" s="157">
        <v>351.05840000000001</v>
      </c>
    </row>
    <row r="348" spans="1:6">
      <c r="A348" s="160" t="s">
        <v>1041</v>
      </c>
      <c r="B348" s="161">
        <v>0.45</v>
      </c>
      <c r="C348" s="162">
        <f t="shared" si="20"/>
        <v>217.04849999999999</v>
      </c>
      <c r="D348" s="162">
        <f t="shared" si="17"/>
        <v>265.28149999999999</v>
      </c>
      <c r="E348" s="163">
        <f t="shared" si="18"/>
        <v>353.70866666666666</v>
      </c>
      <c r="F348" s="157">
        <v>482.33</v>
      </c>
    </row>
    <row r="349" spans="1:6">
      <c r="A349" s="160" t="s">
        <v>1042</v>
      </c>
      <c r="B349" s="161">
        <v>0.45</v>
      </c>
      <c r="C349" s="162">
        <f t="shared" si="20"/>
        <v>264.43638000000004</v>
      </c>
      <c r="D349" s="162">
        <f t="shared" si="17"/>
        <v>323.20002000000005</v>
      </c>
      <c r="E349" s="163">
        <f t="shared" si="18"/>
        <v>430.93336000000005</v>
      </c>
      <c r="F349" s="157">
        <v>587.63640000000009</v>
      </c>
    </row>
    <row r="350" spans="1:6">
      <c r="A350" s="160" t="s">
        <v>1043</v>
      </c>
      <c r="B350" s="161">
        <v>0.45</v>
      </c>
      <c r="C350" s="162">
        <f t="shared" si="20"/>
        <v>301.54104000000007</v>
      </c>
      <c r="D350" s="162">
        <f t="shared" si="17"/>
        <v>368.55016000000001</v>
      </c>
      <c r="E350" s="163">
        <f t="shared" si="18"/>
        <v>491.40021333333334</v>
      </c>
      <c r="F350" s="157">
        <v>670.09120000000007</v>
      </c>
    </row>
    <row r="351" spans="1:6">
      <c r="A351" s="160" t="s">
        <v>1044</v>
      </c>
      <c r="B351" s="161">
        <v>0.45</v>
      </c>
      <c r="C351" s="162">
        <f t="shared" si="20"/>
        <v>381.20472000000001</v>
      </c>
      <c r="D351" s="162">
        <f t="shared" si="17"/>
        <v>465.91687999999994</v>
      </c>
      <c r="E351" s="163">
        <f t="shared" si="18"/>
        <v>621.22250666666662</v>
      </c>
      <c r="F351" s="157">
        <v>847.12159999999994</v>
      </c>
    </row>
  </sheetData>
  <mergeCells count="20">
    <mergeCell ref="A334:C334"/>
    <mergeCell ref="A343:C343"/>
    <mergeCell ref="A252:C252"/>
    <mergeCell ref="A264:C264"/>
    <mergeCell ref="A267:C267"/>
    <mergeCell ref="A272:C272"/>
    <mergeCell ref="A277:C277"/>
    <mergeCell ref="A323:C323"/>
    <mergeCell ref="A248:C248"/>
    <mergeCell ref="A2:C2"/>
    <mergeCell ref="A34:C34"/>
    <mergeCell ref="A69:C69"/>
    <mergeCell ref="A90:C90"/>
    <mergeCell ref="A101:C101"/>
    <mergeCell ref="A112:C112"/>
    <mergeCell ref="A137:C137"/>
    <mergeCell ref="A148:C148"/>
    <mergeCell ref="A163:C163"/>
    <mergeCell ref="A189:C189"/>
    <mergeCell ref="A220:C2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STUBS </vt:lpstr>
      <vt:lpstr>BENDS</vt:lpstr>
      <vt:lpstr>EQUAL TEE</vt:lpstr>
      <vt:lpstr>Moulded fittings </vt:lpstr>
      <vt:lpstr>NUTS &amp; Bolts</vt:lpstr>
      <vt:lpstr> BACKING Flanges </vt:lpstr>
      <vt:lpstr>compression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Els</dc:creator>
  <cp:lastModifiedBy>noezan sithole</cp:lastModifiedBy>
  <dcterms:created xsi:type="dcterms:W3CDTF">2021-09-22T05:18:44Z</dcterms:created>
  <dcterms:modified xsi:type="dcterms:W3CDTF">2021-10-25T10:42:02Z</dcterms:modified>
</cp:coreProperties>
</file>